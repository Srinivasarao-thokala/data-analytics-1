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5c5cf756169edb5/"/>
    </mc:Choice>
  </mc:AlternateContent>
  <xr:revisionPtr revIDLastSave="0" documentId="8_{653F9980-A576-4596-9B27-3C18F0E86DA4}" xr6:coauthVersionLast="47" xr6:coauthVersionMax="47" xr10:uidLastSave="{00000000-0000-0000-0000-000000000000}"/>
  <bookViews>
    <workbookView xWindow="-108" yWindow="-108" windowWidth="23256" windowHeight="13896" activeTab="2" xr2:uid="{D0E726CE-7BB1-4A42-AF27-2C4F02B7E7A8}"/>
  </bookViews>
  <sheets>
    <sheet name="Sheet3" sheetId="4" r:id="rId1"/>
    <sheet name="Sheet2" sheetId="2" r:id="rId2"/>
    <sheet name="dash board" sheetId="3" r:id="rId3"/>
    <sheet name="Sheet4" sheetId="5" r:id="rId4"/>
  </sheets>
  <calcPr calcId="191028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H6" i="2"/>
  <c r="H29" i="2"/>
  <c r="H23" i="2"/>
  <c r="H15" i="2"/>
  <c r="H11" i="2"/>
</calcChain>
</file>

<file path=xl/sharedStrings.xml><?xml version="1.0" encoding="utf-8"?>
<sst xmlns="http://schemas.openxmlformats.org/spreadsheetml/2006/main" count="243" uniqueCount="58">
  <si>
    <t>Row Labels</t>
  </si>
  <si>
    <t>Sum of Actual amount</t>
  </si>
  <si>
    <t>Count of Date</t>
  </si>
  <si>
    <t>Count of Category</t>
  </si>
  <si>
    <t>Jan</t>
  </si>
  <si>
    <t>Bus pass</t>
  </si>
  <si>
    <t>Feb</t>
  </si>
  <si>
    <t>Bus&amp;Fuel</t>
  </si>
  <si>
    <t>Mar</t>
  </si>
  <si>
    <t>Electricity bill</t>
  </si>
  <si>
    <t>Apr</t>
  </si>
  <si>
    <t>Festival Shopping</t>
  </si>
  <si>
    <t>May</t>
  </si>
  <si>
    <t>Fuel</t>
  </si>
  <si>
    <t>Jun</t>
  </si>
  <si>
    <t>Groceries</t>
  </si>
  <si>
    <t>Jul</t>
  </si>
  <si>
    <t>House Rent</t>
  </si>
  <si>
    <t>Aug</t>
  </si>
  <si>
    <t>Movies</t>
  </si>
  <si>
    <t>Sep</t>
  </si>
  <si>
    <t>Outgoing</t>
  </si>
  <si>
    <t>Oct</t>
  </si>
  <si>
    <t>Shopping</t>
  </si>
  <si>
    <t>Nov</t>
  </si>
  <si>
    <t>Travel</t>
  </si>
  <si>
    <t>Dec</t>
  </si>
  <si>
    <t>Trip</t>
  </si>
  <si>
    <t>Grand Total</t>
  </si>
  <si>
    <t>Water&amp;Power</t>
  </si>
  <si>
    <t>Year-End Party</t>
  </si>
  <si>
    <t>Date</t>
  </si>
  <si>
    <t>Month</t>
  </si>
  <si>
    <t>Category</t>
  </si>
  <si>
    <t>Discription</t>
  </si>
  <si>
    <t>Actual amount</t>
  </si>
  <si>
    <t>January</t>
  </si>
  <si>
    <t>Rent</t>
  </si>
  <si>
    <t>Food</t>
  </si>
  <si>
    <t>Transport</t>
  </si>
  <si>
    <t>Entertainment</t>
  </si>
  <si>
    <t>Total Expences</t>
  </si>
  <si>
    <t>Utilities</t>
  </si>
  <si>
    <t>February</t>
  </si>
  <si>
    <t>Total Expences by Category(Food)</t>
  </si>
  <si>
    <t>March</t>
  </si>
  <si>
    <t>Average</t>
  </si>
  <si>
    <t>April</t>
  </si>
  <si>
    <t>Total expences by month</t>
  </si>
  <si>
    <t>Total expenses by month and category</t>
  </si>
  <si>
    <t>June</t>
  </si>
  <si>
    <t>avg expanses by month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</si>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</sst>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2"/>
      <color theme="1"/>
      <name val="Tw Cen MT"/>
      <family val="2"/>
      <scheme val="minor"/>
    </font>
    <font>
      <sz val="11"/>
      <color theme="4" tint="-0.249977111117893"/>
      <name val="Tw Cen M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2" borderId="0" xfId="0" applyFill="1"/>
    <xf numFmtId="0" fontId="3" fillId="4" borderId="0" xfId="0" applyFont="1" applyFill="1"/>
    <xf numFmtId="0" fontId="3" fillId="0" borderId="0" xfId="0" applyFont="1"/>
    <xf numFmtId="0" fontId="3" fillId="0" borderId="1" xfId="0" applyFont="1" applyBorder="1"/>
    <xf numFmtId="14" fontId="3" fillId="4" borderId="0" xfId="0" applyNumberFormat="1" applyFont="1" applyFill="1"/>
    <xf numFmtId="14" fontId="3" fillId="0" borderId="0" xfId="0" applyNumberFormat="1" applyFont="1"/>
    <xf numFmtId="14" fontId="3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finance1.xlsx]Sheet3!PivotTable1</c:name>
    <c:fmtId val="11"/>
  </c:pivotSource>
  <c:chart>
    <c:autoTitleDeleted val="1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-1.1111111111111117E-2"/>
              <c:y val="-0.305555555555555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1111111111111112E-2"/>
              <c:y val="-0.291666666666666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3888888888888838E-2"/>
              <c:y val="-0.282407407407407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2.7777777777777728E-2"/>
              <c:y val="-0.291666666666666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9444444444444393E-2"/>
              <c:y val="-0.319444444444444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2.7777777777777776E-2"/>
              <c:y val="-0.300925925925925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8.3333333333333332E-3"/>
              <c:y val="-0.268518518518518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1111111111111112E-2"/>
              <c:y val="-0.296296296296296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1111111111111112E-2"/>
              <c:y val="-0.2638888888888889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8.3333333333332309E-3"/>
              <c:y val="-0.310185185185185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2.777777777777676E-3"/>
              <c:y val="-0.277777777777777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5.5555555555554534E-3"/>
              <c:y val="-0.333333333333333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Pt>
            <c:idx val="0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729-439E-B245-D92F07EE4B55}"/>
              </c:ext>
            </c:extLst>
          </c:dPt>
          <c:dPt>
            <c:idx val="1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29-439E-B245-D92F07EE4B55}"/>
              </c:ext>
            </c:extLst>
          </c:dPt>
          <c:dPt>
            <c:idx val="2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729-439E-B245-D92F07EE4B55}"/>
              </c:ext>
            </c:extLst>
          </c:dPt>
          <c:dPt>
            <c:idx val="3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29-439E-B245-D92F07EE4B55}"/>
              </c:ext>
            </c:extLst>
          </c:dPt>
          <c:dPt>
            <c:idx val="4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6729-439E-B245-D92F07EE4B55}"/>
              </c:ext>
            </c:extLst>
          </c:dPt>
          <c:dPt>
            <c:idx val="5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29-439E-B245-D92F07EE4B55}"/>
              </c:ext>
            </c:extLst>
          </c:dPt>
          <c:dPt>
            <c:idx val="6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6729-439E-B245-D92F07EE4B55}"/>
              </c:ext>
            </c:extLst>
          </c:dPt>
          <c:dPt>
            <c:idx val="7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729-439E-B245-D92F07EE4B55}"/>
              </c:ext>
            </c:extLst>
          </c:dPt>
          <c:dPt>
            <c:idx val="8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6729-439E-B245-D92F07EE4B55}"/>
              </c:ext>
            </c:extLst>
          </c:dPt>
          <c:dPt>
            <c:idx val="9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729-439E-B245-D92F07EE4B55}"/>
              </c:ext>
            </c:extLst>
          </c:dPt>
          <c:dPt>
            <c:idx val="10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6729-439E-B245-D92F07EE4B55}"/>
              </c:ext>
            </c:extLst>
          </c:dPt>
          <c:dPt>
            <c:idx val="11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729-439E-B245-D92F07EE4B55}"/>
              </c:ext>
            </c:extLst>
          </c:dPt>
          <c:dLbls>
            <c:dLbl>
              <c:idx val="0"/>
              <c:layout>
                <c:manualLayout>
                  <c:x val="-1.1111111111111117E-2"/>
                  <c:y val="-0.305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29-439E-B245-D92F07EE4B55}"/>
                </c:ext>
              </c:extLst>
            </c:dLbl>
            <c:dLbl>
              <c:idx val="1"/>
              <c:layout>
                <c:manualLayout>
                  <c:x val="1.1111111111111112E-2"/>
                  <c:y val="-0.291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29-439E-B245-D92F07EE4B55}"/>
                </c:ext>
              </c:extLst>
            </c:dLbl>
            <c:dLbl>
              <c:idx val="2"/>
              <c:layout>
                <c:manualLayout>
                  <c:x val="1.3888888888888838E-2"/>
                  <c:y val="-0.282407407407407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29-439E-B245-D92F07EE4B55}"/>
                </c:ext>
              </c:extLst>
            </c:dLbl>
            <c:dLbl>
              <c:idx val="3"/>
              <c:layout>
                <c:manualLayout>
                  <c:x val="2.7777777777777728E-2"/>
                  <c:y val="-0.291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29-439E-B245-D92F07EE4B55}"/>
                </c:ext>
              </c:extLst>
            </c:dLbl>
            <c:dLbl>
              <c:idx val="4"/>
              <c:layout>
                <c:manualLayout>
                  <c:x val="1.9444444444444393E-2"/>
                  <c:y val="-0.319444444444444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729-439E-B245-D92F07EE4B55}"/>
                </c:ext>
              </c:extLst>
            </c:dLbl>
            <c:dLbl>
              <c:idx val="5"/>
              <c:layout>
                <c:manualLayout>
                  <c:x val="2.7777777777777776E-2"/>
                  <c:y val="-0.300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29-439E-B245-D92F07EE4B55}"/>
                </c:ext>
              </c:extLst>
            </c:dLbl>
            <c:dLbl>
              <c:idx val="6"/>
              <c:layout>
                <c:manualLayout>
                  <c:x val="8.3333333333333332E-3"/>
                  <c:y val="-0.268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729-439E-B245-D92F07EE4B55}"/>
                </c:ext>
              </c:extLst>
            </c:dLbl>
            <c:dLbl>
              <c:idx val="7"/>
              <c:layout>
                <c:manualLayout>
                  <c:x val="1.1111111111111112E-2"/>
                  <c:y val="-0.296296296296296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729-439E-B245-D92F07EE4B55}"/>
                </c:ext>
              </c:extLst>
            </c:dLbl>
            <c:dLbl>
              <c:idx val="8"/>
              <c:layout>
                <c:manualLayout>
                  <c:x val="1.1111111111111112E-2"/>
                  <c:y val="-0.263888888888888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729-439E-B245-D92F07EE4B55}"/>
                </c:ext>
              </c:extLst>
            </c:dLbl>
            <c:dLbl>
              <c:idx val="9"/>
              <c:layout>
                <c:manualLayout>
                  <c:x val="8.3333333333332309E-3"/>
                  <c:y val="-0.310185185185185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729-439E-B245-D92F07EE4B55}"/>
                </c:ext>
              </c:extLst>
            </c:dLbl>
            <c:dLbl>
              <c:idx val="10"/>
              <c:layout>
                <c:manualLayout>
                  <c:x val="2.777777777777676E-3"/>
                  <c:y val="-0.277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729-439E-B245-D92F07EE4B55}"/>
                </c:ext>
              </c:extLst>
            </c:dLbl>
            <c:dLbl>
              <c:idx val="11"/>
              <c:layout>
                <c:manualLayout>
                  <c:x val="5.5555555555554534E-3"/>
                  <c:y val="-0.333333333333333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729-439E-B245-D92F07EE4B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Sheet3!$B$2:$B$14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39E-B245-D92F07EE4B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76006384"/>
        <c:axId val="1176006864"/>
        <c:axId val="0"/>
      </c:bar3DChart>
      <c:catAx>
        <c:axId val="117600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06864"/>
        <c:crosses val="autoZero"/>
        <c:auto val="1"/>
        <c:lblAlgn val="ctr"/>
        <c:lblOffset val="100"/>
        <c:noMultiLvlLbl val="0"/>
      </c:catAx>
      <c:valAx>
        <c:axId val="1176006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600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finance1.xlsx]Sheet3!PivotTable2</c:name>
    <c:fmtId val="32"/>
  </c:pivotSource>
  <c:chart>
    <c:autoTitleDeleted val="1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330489938757653E-2"/>
          <c:y val="0.14249781277340332"/>
          <c:w val="0.89222506561679793"/>
          <c:h val="0.39603200641586467"/>
        </c:manualLayout>
      </c:layout>
      <c:lineChart>
        <c:grouping val="stacked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Sheet3!$D$2:$D$16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Sheet3!$E$2:$E$16</c:f>
              <c:numCache>
                <c:formatCode>General</c:formatCode>
                <c:ptCount val="14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3500</c:v>
                </c:pt>
                <c:pt idx="4">
                  <c:v>18500</c:v>
                </c:pt>
                <c:pt idx="5">
                  <c:v>55800</c:v>
                </c:pt>
                <c:pt idx="6">
                  <c:v>144000</c:v>
                </c:pt>
                <c:pt idx="7">
                  <c:v>10300</c:v>
                </c:pt>
                <c:pt idx="8">
                  <c:v>3500</c:v>
                </c:pt>
                <c:pt idx="9">
                  <c:v>4300</c:v>
                </c:pt>
                <c:pt idx="10">
                  <c:v>3600</c:v>
                </c:pt>
                <c:pt idx="11">
                  <c:v>2800</c:v>
                </c:pt>
                <c:pt idx="12">
                  <c:v>2400</c:v>
                </c:pt>
                <c:pt idx="13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4-45F8-B4CE-85187047AE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76020304"/>
        <c:axId val="1176008304"/>
      </c:lineChart>
      <c:catAx>
        <c:axId val="117602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08304"/>
        <c:crosses val="autoZero"/>
        <c:auto val="1"/>
        <c:lblAlgn val="ctr"/>
        <c:lblOffset val="100"/>
        <c:noMultiLvlLbl val="0"/>
      </c:catAx>
      <c:valAx>
        <c:axId val="1176008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602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finance1.xlsx]Sheet3!PivotTable3</c:name>
    <c:fmtId val="5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2-5E6F-4718-8393-DE703BA99207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4-5E6F-4718-8393-DE703BA99207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6-5E6F-4718-8393-DE703BA99207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8-5E6F-4718-8393-DE703BA99207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A-5E6F-4718-8393-DE703BA99207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C-5E6F-4718-8393-DE703BA99207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E-5E6F-4718-8393-DE703BA99207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0-5E6F-4718-8393-DE703BA99207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2-5E6F-4718-8393-DE703BA99207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4-5E6F-4718-8393-DE703BA99207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6-5E6F-4718-8393-DE703BA99207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8-5E6F-4718-8393-DE703BA99207}"/>
              </c:ext>
            </c:extLst>
          </c:dPt>
          <c:dPt>
            <c:idx val="1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A-5E6F-4718-8393-DE703BA99207}"/>
              </c:ext>
            </c:extLst>
          </c:dPt>
          <c:dPt>
            <c:idx val="1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C-5E6F-4718-8393-DE703BA992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Sheet3!$G$2:$G$16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Sheet3!$H$2:$H$16</c:f>
              <c:numCache>
                <c:formatCode>General</c:formatCode>
                <c:ptCount val="14"/>
                <c:pt idx="0">
                  <c:v>3</c:v>
                </c:pt>
                <c:pt idx="1">
                  <c:v>2</c:v>
                </c:pt>
                <c:pt idx="2">
                  <c:v>11</c:v>
                </c:pt>
                <c:pt idx="3">
                  <c:v>1</c:v>
                </c:pt>
                <c:pt idx="4">
                  <c:v>6</c:v>
                </c:pt>
                <c:pt idx="5">
                  <c:v>12</c:v>
                </c:pt>
                <c:pt idx="6">
                  <c:v>12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5E6F-4718-8393-DE703BA992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finance1.xlsx]Sheet3!PivotTable4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649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88888888888884E-2"/>
              <c:y val="-0.314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4356E-3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06481481481481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8798E-3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0370135052831988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"/>
              <c:y val="-0.324074074074074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9444444444444445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6572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2222222222222223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4444444444444446E-2"/>
              <c:y val="-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111111111111162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8E-2"/>
              <c:y val="-0.15740740740740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888888888888888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6FC7-406C-8D63-953C6645EB6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FC7-406C-8D63-953C6645EB6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FC7-406C-8D63-953C6645EB6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6FC7-406C-8D63-953C6645EB6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6FC7-406C-8D63-953C6645EB6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6FC7-406C-8D63-953C6645EB67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6FC7-406C-8D63-953C6645EB67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6FC7-406C-8D63-953C6645EB67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FC7-406C-8D63-953C6645EB67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6FC7-406C-8D63-953C6645EB67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6FC7-406C-8D63-953C6645EB67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6FC7-406C-8D63-953C6645EB67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6FC7-406C-8D63-953C6645EB67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FC7-406C-8D63-953C6645EB67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6FC7-406C-8D63-953C6645EB67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6FC7-406C-8D63-953C6645EB67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6FC7-406C-8D63-953C6645EB67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FC7-406C-8D63-953C6645EB67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6FC7-406C-8D63-953C6645EB67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FC7-406C-8D63-953C6645EB67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6FC7-406C-8D63-953C6645EB67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6FC7-406C-8D63-953C6645EB67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6FC7-406C-8D63-953C6645EB67}"/>
              </c:ext>
            </c:extLst>
          </c:dPt>
          <c:dPt>
            <c:idx val="3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6FC7-406C-8D63-953C6645EB67}"/>
              </c:ext>
            </c:extLst>
          </c:dPt>
          <c:dPt>
            <c:idx val="3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6FC7-406C-8D63-953C6645EB67}"/>
              </c:ext>
            </c:extLst>
          </c:dPt>
          <c:dLbls>
            <c:dLbl>
              <c:idx val="0"/>
              <c:layout>
                <c:manualLayout>
                  <c:x val="-1.3888888888888888E-2"/>
                  <c:y val="-0.11111111111111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FC7-406C-8D63-953C6645EB67}"/>
                </c:ext>
              </c:extLst>
            </c:dLbl>
            <c:dLbl>
              <c:idx val="1"/>
              <c:layout>
                <c:manualLayout>
                  <c:x val="-5.5555555555555558E-3"/>
                  <c:y val="-0.115740740740740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C7-406C-8D63-953C6645EB67}"/>
                </c:ext>
              </c:extLst>
            </c:dLbl>
            <c:dLbl>
              <c:idx val="2"/>
              <c:layout>
                <c:manualLayout>
                  <c:x val="2.7777777777777649E-3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C7-406C-8D63-953C6645EB67}"/>
                </c:ext>
              </c:extLst>
            </c:dLbl>
            <c:dLbl>
              <c:idx val="3"/>
              <c:layout>
                <c:manualLayout>
                  <c:x val="1.3888888888888888E-2"/>
                  <c:y val="-0.157407407407407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FC7-406C-8D63-953C6645EB67}"/>
                </c:ext>
              </c:extLst>
            </c:dLbl>
            <c:dLbl>
              <c:idx val="6"/>
              <c:layout>
                <c:manualLayout>
                  <c:x val="-3.3333333333333333E-2"/>
                  <c:y val="-0.101851851851851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FC7-406C-8D63-953C6645EB67}"/>
                </c:ext>
              </c:extLst>
            </c:dLbl>
            <c:dLbl>
              <c:idx val="7"/>
              <c:layout>
                <c:manualLayout>
                  <c:x val="-5.555555555555558E-2"/>
                  <c:y val="-0.157407407407407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FC7-406C-8D63-953C6645EB67}"/>
                </c:ext>
              </c:extLst>
            </c:dLbl>
            <c:dLbl>
              <c:idx val="8"/>
              <c:layout>
                <c:manualLayout>
                  <c:x val="-1.1111111111111162E-2"/>
                  <c:y val="-9.722222222222222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FC7-406C-8D63-953C6645EB67}"/>
                </c:ext>
              </c:extLst>
            </c:dLbl>
            <c:dLbl>
              <c:idx val="9"/>
              <c:layout>
                <c:manualLayout>
                  <c:x val="-4.4444444444444446E-2"/>
                  <c:y val="-0.106481481481481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C7-406C-8D63-953C6645EB67}"/>
                </c:ext>
              </c:extLst>
            </c:dLbl>
            <c:dLbl>
              <c:idx val="10"/>
              <c:layout>
                <c:manualLayout>
                  <c:x val="-6.3888888888888884E-2"/>
                  <c:y val="-0.314814814814814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C7-406C-8D63-953C6645EB67}"/>
                </c:ext>
              </c:extLst>
            </c:dLbl>
            <c:dLbl>
              <c:idx val="11"/>
              <c:layout>
                <c:manualLayout>
                  <c:x val="-3.3333333333333333E-2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FC7-406C-8D63-953C6645EB67}"/>
                </c:ext>
              </c:extLst>
            </c:dLbl>
            <c:dLbl>
              <c:idx val="12"/>
              <c:layout>
                <c:manualLayout>
                  <c:x val="-8.3333333333333332E-3"/>
                  <c:y val="-0.1250000000000000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FC7-406C-8D63-953C6645EB67}"/>
                </c:ext>
              </c:extLst>
            </c:dLbl>
            <c:dLbl>
              <c:idx val="13"/>
              <c:layout>
                <c:manualLayout>
                  <c:x val="-2.2222222222222223E-2"/>
                  <c:y val="-0.194444444444444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FC7-406C-8D63-953C6645EB67}"/>
                </c:ext>
              </c:extLst>
            </c:dLbl>
            <c:dLbl>
              <c:idx val="14"/>
              <c:layout>
                <c:manualLayout>
                  <c:x val="-5.5555555555556572E-3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FC7-406C-8D63-953C6645EB67}"/>
                </c:ext>
              </c:extLst>
            </c:dLbl>
            <c:dLbl>
              <c:idx val="16"/>
              <c:layout>
                <c:manualLayout>
                  <c:x val="-8.3333333333334356E-3"/>
                  <c:y val="-8.796296296296296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C7-406C-8D63-953C6645EB67}"/>
                </c:ext>
              </c:extLst>
            </c:dLbl>
            <c:dLbl>
              <c:idx val="17"/>
              <c:layout>
                <c:manualLayout>
                  <c:x val="-1.9444444444444445E-2"/>
                  <c:y val="-0.194444444444444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FC7-406C-8D63-953C6645EB67}"/>
                </c:ext>
              </c:extLst>
            </c:dLbl>
            <c:dLbl>
              <c:idx val="18"/>
              <c:layout>
                <c:manualLayout>
                  <c:x val="-2.7777777777777779E-3"/>
                  <c:y val="-0.115740740740740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FC7-406C-8D63-953C6645EB67}"/>
                </c:ext>
              </c:extLst>
            </c:dLbl>
            <c:dLbl>
              <c:idx val="20"/>
              <c:layout>
                <c:manualLayout>
                  <c:x val="0"/>
                  <c:y val="-0.1250000000000000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C7-406C-8D63-953C6645EB67}"/>
                </c:ext>
              </c:extLst>
            </c:dLbl>
            <c:dLbl>
              <c:idx val="22"/>
              <c:layout>
                <c:manualLayout>
                  <c:x val="0"/>
                  <c:y val="-0.106481481481481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C7-406C-8D63-953C6645EB67}"/>
                </c:ext>
              </c:extLst>
            </c:dLbl>
            <c:dLbl>
              <c:idx val="24"/>
              <c:layout>
                <c:manualLayout>
                  <c:x val="-2.7777777777778798E-3"/>
                  <c:y val="-0.143518518518518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FC7-406C-8D63-953C6645EB67}"/>
                </c:ext>
              </c:extLst>
            </c:dLbl>
            <c:dLbl>
              <c:idx val="25"/>
              <c:layout>
                <c:manualLayout>
                  <c:x val="-1.0185067526415994E-16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FC7-406C-8D63-953C6645EB67}"/>
                </c:ext>
              </c:extLst>
            </c:dLbl>
            <c:dLbl>
              <c:idx val="27"/>
              <c:layout>
                <c:manualLayout>
                  <c:x val="-1.0185067526415994E-16"/>
                  <c:y val="-0.1203703703703703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FC7-406C-8D63-953C6645EB67}"/>
                </c:ext>
              </c:extLst>
            </c:dLbl>
            <c:dLbl>
              <c:idx val="29"/>
              <c:layout>
                <c:manualLayout>
                  <c:x val="-8.3333333333333332E-3"/>
                  <c:y val="-0.203703703703703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FC7-406C-8D63-953C6645EB67}"/>
                </c:ext>
              </c:extLst>
            </c:dLbl>
            <c:dLbl>
              <c:idx val="30"/>
              <c:layout>
                <c:manualLayout>
                  <c:x val="-2.0370135052831988E-16"/>
                  <c:y val="-6.481481481481489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FC7-406C-8D63-953C6645EB67}"/>
                </c:ext>
              </c:extLst>
            </c:dLbl>
            <c:dLbl>
              <c:idx val="31"/>
              <c:layout>
                <c:manualLayout>
                  <c:x val="-1.0185067526415994E-16"/>
                  <c:y val="-0.203703703703703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C7-406C-8D63-953C6645EB67}"/>
                </c:ext>
              </c:extLst>
            </c:dLbl>
            <c:dLbl>
              <c:idx val="32"/>
              <c:layout>
                <c:manualLayout>
                  <c:x val="-0.1"/>
                  <c:y val="-0.324074074074074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FC7-406C-8D63-953C6645EB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Sheet3!$J$2:$J$35</c:f>
              <c:strCache>
                <c:ptCount val="33"/>
                <c:pt idx="0">
                  <c:v>1500</c:v>
                </c:pt>
                <c:pt idx="1">
                  <c:v>1800</c:v>
                </c:pt>
                <c:pt idx="2">
                  <c:v>1900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2300</c:v>
                </c:pt>
                <c:pt idx="7">
                  <c:v>2400</c:v>
                </c:pt>
                <c:pt idx="8">
                  <c:v>2500</c:v>
                </c:pt>
                <c:pt idx="9">
                  <c:v>2600</c:v>
                </c:pt>
                <c:pt idx="10">
                  <c:v>2700</c:v>
                </c:pt>
                <c:pt idx="11">
                  <c:v>2800</c:v>
                </c:pt>
                <c:pt idx="12">
                  <c:v>2900</c:v>
                </c:pt>
                <c:pt idx="13">
                  <c:v>3000</c:v>
                </c:pt>
                <c:pt idx="14">
                  <c:v>3100</c:v>
                </c:pt>
                <c:pt idx="15">
                  <c:v>3200</c:v>
                </c:pt>
                <c:pt idx="16">
                  <c:v>3300</c:v>
                </c:pt>
                <c:pt idx="17">
                  <c:v>3500</c:v>
                </c:pt>
                <c:pt idx="18">
                  <c:v>3600</c:v>
                </c:pt>
                <c:pt idx="19">
                  <c:v>3900</c:v>
                </c:pt>
                <c:pt idx="20">
                  <c:v>4000</c:v>
                </c:pt>
                <c:pt idx="21">
                  <c:v>4100</c:v>
                </c:pt>
                <c:pt idx="22">
                  <c:v>4200</c:v>
                </c:pt>
                <c:pt idx="23">
                  <c:v>4300</c:v>
                </c:pt>
                <c:pt idx="24">
                  <c:v>4500</c:v>
                </c:pt>
                <c:pt idx="25">
                  <c:v>4600</c:v>
                </c:pt>
                <c:pt idx="26">
                  <c:v>4700</c:v>
                </c:pt>
                <c:pt idx="27">
                  <c:v>4800</c:v>
                </c:pt>
                <c:pt idx="28">
                  <c:v>5000</c:v>
                </c:pt>
                <c:pt idx="29">
                  <c:v>5100</c:v>
                </c:pt>
                <c:pt idx="30">
                  <c:v>5200</c:v>
                </c:pt>
                <c:pt idx="31">
                  <c:v>5400</c:v>
                </c:pt>
                <c:pt idx="32">
                  <c:v>12000</c:v>
                </c:pt>
              </c:strCache>
            </c:strRef>
          </c:cat>
          <c:val>
            <c:numRef>
              <c:f>Sheet3!$K$2:$K$35</c:f>
              <c:numCache>
                <c:formatCode>General</c:formatCode>
                <c:ptCount val="3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7-406C-8D63-953C6645EB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616544"/>
        <c:axId val="160623744"/>
      </c:barChart>
      <c:catAx>
        <c:axId val="1606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23744"/>
        <c:crosses val="autoZero"/>
        <c:auto val="1"/>
        <c:lblAlgn val="ctr"/>
        <c:lblOffset val="100"/>
        <c:noMultiLvlLbl val="0"/>
      </c:catAx>
      <c:valAx>
        <c:axId val="160623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61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finance1.xlsx]Sheet3!PivotTable1</c:name>
    <c:fmtId val="23"/>
  </c:pivotSource>
  <c:chart>
    <c:autoTitleDeleted val="1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-1.1111111111111117E-2"/>
              <c:y val="-0.305555555555555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1111111111111112E-2"/>
              <c:y val="-0.291666666666666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9.8006456827810524E-3"/>
              <c:y val="-0.341246986944514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9.380716882361027E-3"/>
              <c:y val="-0.377251604821899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9444444444444393E-2"/>
              <c:y val="-0.316769916772349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009761211970203E-2"/>
                  <c:h val="7.3816963749831002E-2"/>
                </c:manualLayout>
              </c15:layout>
            </c:ext>
          </c:extLst>
        </c:dLbl>
      </c:pivotFmt>
      <c:pivotFmt>
        <c:idx val="3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2.7777750952122891E-2"/>
              <c:y val="-0.386510945978331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6509768776804865E-2"/>
              <c:y val="-0.380848528651772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009761211970203E-2"/>
                  <c:h val="0.12195846184754687"/>
                </c:manualLayout>
              </c15:layout>
            </c:ext>
          </c:extLst>
        </c:dLbl>
      </c:pivotFmt>
      <c:pivotFmt>
        <c:idx val="3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3155247468275101E-2"/>
              <c:y val="-0.381881275400115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3155247468275101E-2"/>
              <c:y val="-0.40831319013870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2421619460488869E-2"/>
              <c:y val="-0.395769865949303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4.8218578010665886E-3"/>
              <c:y val="-0.358013537743060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3731945395413758E-2"/>
              <c:y val="-0.365427665398477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91994750656183E-4"/>
          <c:y val="1.1955975015318211E-2"/>
          <c:w val="0.93888888888888888"/>
          <c:h val="0.7634310955033060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Pt>
            <c:idx val="0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61-48FF-B418-721E273264DB}"/>
              </c:ext>
            </c:extLst>
          </c:dPt>
          <c:dPt>
            <c:idx val="1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61-48FF-B418-721E273264DB}"/>
              </c:ext>
            </c:extLst>
          </c:dPt>
          <c:dPt>
            <c:idx val="2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61-48FF-B418-721E273264DB}"/>
              </c:ext>
            </c:extLst>
          </c:dPt>
          <c:dPt>
            <c:idx val="3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61-48FF-B418-721E273264DB}"/>
              </c:ext>
            </c:extLst>
          </c:dPt>
          <c:dPt>
            <c:idx val="4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61-48FF-B418-721E273264DB}"/>
              </c:ext>
            </c:extLst>
          </c:dPt>
          <c:dPt>
            <c:idx val="5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61-48FF-B418-721E273264DB}"/>
              </c:ext>
            </c:extLst>
          </c:dPt>
          <c:dPt>
            <c:idx val="6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61-48FF-B418-721E273264DB}"/>
              </c:ext>
            </c:extLst>
          </c:dPt>
          <c:dPt>
            <c:idx val="7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61-48FF-B418-721E273264DB}"/>
              </c:ext>
            </c:extLst>
          </c:dPt>
          <c:dPt>
            <c:idx val="8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61-48FF-B418-721E273264DB}"/>
              </c:ext>
            </c:extLst>
          </c:dPt>
          <c:dPt>
            <c:idx val="9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61-48FF-B418-721E273264DB}"/>
              </c:ext>
            </c:extLst>
          </c:dPt>
          <c:dPt>
            <c:idx val="10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61-48FF-B418-721E273264DB}"/>
              </c:ext>
            </c:extLst>
          </c:dPt>
          <c:dPt>
            <c:idx val="11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61-48FF-B418-721E273264DB}"/>
              </c:ext>
            </c:extLst>
          </c:dPt>
          <c:dLbls>
            <c:dLbl>
              <c:idx val="0"/>
              <c:layout>
                <c:manualLayout>
                  <c:x val="-1.1111111111111117E-2"/>
                  <c:y val="-0.305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61-48FF-B418-721E273264DB}"/>
                </c:ext>
              </c:extLst>
            </c:dLbl>
            <c:dLbl>
              <c:idx val="1"/>
              <c:layout>
                <c:manualLayout>
                  <c:x val="1.1111111111111112E-2"/>
                  <c:y val="-0.291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61-48FF-B418-721E273264DB}"/>
                </c:ext>
              </c:extLst>
            </c:dLbl>
            <c:dLbl>
              <c:idx val="2"/>
              <c:layout>
                <c:manualLayout>
                  <c:x val="9.8006456827810524E-3"/>
                  <c:y val="-0.341246986944514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61-48FF-B418-721E273264DB}"/>
                </c:ext>
              </c:extLst>
            </c:dLbl>
            <c:dLbl>
              <c:idx val="3"/>
              <c:layout>
                <c:manualLayout>
                  <c:x val="9.380716882361027E-3"/>
                  <c:y val="-0.377251604821899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61-48FF-B418-721E273264DB}"/>
                </c:ext>
              </c:extLst>
            </c:dLbl>
            <c:dLbl>
              <c:idx val="4"/>
              <c:layout>
                <c:manualLayout>
                  <c:x val="1.9444444444444393E-2"/>
                  <c:y val="-0.316769916772349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009761211970203E-2"/>
                      <c:h val="7.3816963749831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F761-48FF-B418-721E273264DB}"/>
                </c:ext>
              </c:extLst>
            </c:dLbl>
            <c:dLbl>
              <c:idx val="5"/>
              <c:layout>
                <c:manualLayout>
                  <c:x val="2.7777750952122891E-2"/>
                  <c:y val="-0.386510945978331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61-48FF-B418-721E273264DB}"/>
                </c:ext>
              </c:extLst>
            </c:dLbl>
            <c:dLbl>
              <c:idx val="6"/>
              <c:layout>
                <c:manualLayout>
                  <c:x val="1.6509768776804865E-2"/>
                  <c:y val="-0.38084852865177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009761211970203E-2"/>
                      <c:h val="0.121958461847546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F761-48FF-B418-721E273264DB}"/>
                </c:ext>
              </c:extLst>
            </c:dLbl>
            <c:dLbl>
              <c:idx val="7"/>
              <c:layout>
                <c:manualLayout>
                  <c:x val="1.3155247468275101E-2"/>
                  <c:y val="-0.381881275400115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761-48FF-B418-721E273264DB}"/>
                </c:ext>
              </c:extLst>
            </c:dLbl>
            <c:dLbl>
              <c:idx val="8"/>
              <c:layout>
                <c:manualLayout>
                  <c:x val="1.3155247468275101E-2"/>
                  <c:y val="-0.40831319013870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761-48FF-B418-721E273264DB}"/>
                </c:ext>
              </c:extLst>
            </c:dLbl>
            <c:dLbl>
              <c:idx val="9"/>
              <c:layout>
                <c:manualLayout>
                  <c:x val="1.2421619460488869E-2"/>
                  <c:y val="-0.395769865949303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761-48FF-B418-721E273264DB}"/>
                </c:ext>
              </c:extLst>
            </c:dLbl>
            <c:dLbl>
              <c:idx val="10"/>
              <c:layout>
                <c:manualLayout>
                  <c:x val="4.8218578010665886E-3"/>
                  <c:y val="-0.358013537743060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61-48FF-B418-721E273264DB}"/>
                </c:ext>
              </c:extLst>
            </c:dLbl>
            <c:dLbl>
              <c:idx val="11"/>
              <c:layout>
                <c:manualLayout>
                  <c:x val="1.3731945395413758E-2"/>
                  <c:y val="-0.365427665398477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761-48FF-B418-721E273264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Sheet3!$B$2:$B$14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61-48FF-B418-721E273264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76006384"/>
        <c:axId val="1176006864"/>
        <c:axId val="0"/>
      </c:bar3DChart>
      <c:catAx>
        <c:axId val="117600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06864"/>
        <c:crosses val="autoZero"/>
        <c:auto val="1"/>
        <c:lblAlgn val="ctr"/>
        <c:lblOffset val="100"/>
        <c:noMultiLvlLbl val="0"/>
      </c:catAx>
      <c:valAx>
        <c:axId val="1176006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6006384"/>
        <c:crosses val="autoZero"/>
        <c:crossBetween val="between"/>
      </c:valAx>
      <c:spPr>
        <a:noFill/>
        <a:ln w="254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finance1.xlsx]Sheet3!PivotTable2</c:name>
    <c:fmtId val="38"/>
  </c:pivotSource>
  <c:chart>
    <c:autoTitleDeleted val="1"/>
    <c:pivotFmts>
      <c:pivotFmt>
        <c:idx val="0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16686734339476"/>
          <c:y val="0.15719932071723677"/>
          <c:w val="0.89026096916291386"/>
          <c:h val="0.46475519273650007"/>
        </c:manualLayout>
      </c:layout>
      <c:lineChart>
        <c:grouping val="stacked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Sheet3!$D$2:$D$16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Sheet3!$E$2:$E$16</c:f>
              <c:numCache>
                <c:formatCode>General</c:formatCode>
                <c:ptCount val="14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3500</c:v>
                </c:pt>
                <c:pt idx="4">
                  <c:v>18500</c:v>
                </c:pt>
                <c:pt idx="5">
                  <c:v>55800</c:v>
                </c:pt>
                <c:pt idx="6">
                  <c:v>144000</c:v>
                </c:pt>
                <c:pt idx="7">
                  <c:v>10300</c:v>
                </c:pt>
                <c:pt idx="8">
                  <c:v>3500</c:v>
                </c:pt>
                <c:pt idx="9">
                  <c:v>4300</c:v>
                </c:pt>
                <c:pt idx="10">
                  <c:v>3600</c:v>
                </c:pt>
                <c:pt idx="11">
                  <c:v>2800</c:v>
                </c:pt>
                <c:pt idx="12">
                  <c:v>2400</c:v>
                </c:pt>
                <c:pt idx="13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9-4B7D-B464-5CDB2B44141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76020304"/>
        <c:axId val="1176008304"/>
      </c:lineChart>
      <c:catAx>
        <c:axId val="117602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08304"/>
        <c:crosses val="autoZero"/>
        <c:auto val="1"/>
        <c:lblAlgn val="ctr"/>
        <c:lblOffset val="100"/>
        <c:noMultiLvlLbl val="0"/>
      </c:catAx>
      <c:valAx>
        <c:axId val="1176008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602030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finance1.xlsx]Sheet3!PivotTable3</c:name>
    <c:fmtId val="12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2B6-446A-AB6A-8FF92F38EE45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2B6-446A-AB6A-8FF92F38EE45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2B6-446A-AB6A-8FF92F38EE45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12B6-446A-AB6A-8FF92F38EE45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12B6-446A-AB6A-8FF92F38EE45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12B6-446A-AB6A-8FF92F38EE45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12B6-446A-AB6A-8FF92F38EE45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12B6-446A-AB6A-8FF92F38EE45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12B6-446A-AB6A-8FF92F38EE45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12B6-446A-AB6A-8FF92F38EE45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12B6-446A-AB6A-8FF92F38EE45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12B6-446A-AB6A-8FF92F38EE45}"/>
              </c:ext>
            </c:extLst>
          </c:dPt>
          <c:dPt>
            <c:idx val="1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12B6-446A-AB6A-8FF92F38EE45}"/>
              </c:ext>
            </c:extLst>
          </c:dPt>
          <c:dPt>
            <c:idx val="1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12B6-446A-AB6A-8FF92F38EE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Sheet3!$G$2:$G$16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Sheet3!$H$2:$H$16</c:f>
              <c:numCache>
                <c:formatCode>General</c:formatCode>
                <c:ptCount val="14"/>
                <c:pt idx="0">
                  <c:v>3</c:v>
                </c:pt>
                <c:pt idx="1">
                  <c:v>2</c:v>
                </c:pt>
                <c:pt idx="2">
                  <c:v>11</c:v>
                </c:pt>
                <c:pt idx="3">
                  <c:v>1</c:v>
                </c:pt>
                <c:pt idx="4">
                  <c:v>6</c:v>
                </c:pt>
                <c:pt idx="5">
                  <c:v>12</c:v>
                </c:pt>
                <c:pt idx="6">
                  <c:v>12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2B6-446A-AB6A-8FF92F38EE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72396144502547"/>
          <c:y val="0.11434619301484711"/>
          <c:w val="0.16811992012448826"/>
          <c:h val="0.748469513954734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finance1.xlsx]Sheet3!PivotTable4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649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88888888888884E-2"/>
              <c:y val="-0.314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4356E-3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06481481481481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8798E-3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0370135052831988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"/>
              <c:y val="-0.324074074074074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9444444444444445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6572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2222222222222223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4444444444444446E-2"/>
              <c:y val="-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111111111111162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8E-2"/>
              <c:y val="-0.15740740740740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888888888888888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888888888888888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649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8E-2"/>
              <c:y val="-0.15740740740740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111111111111162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4444444444444446E-2"/>
              <c:y val="-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88888888888884E-2"/>
              <c:y val="-0.314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2222222222222223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6572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4356E-3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9444444444444445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06481481481481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8798E-3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0370135052831988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"/>
              <c:y val="-0.324074074074074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888888888888888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649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8E-2"/>
              <c:y val="-0.15740740740740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111111111111162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4444444444444446E-2"/>
              <c:y val="-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88888888888884E-2"/>
              <c:y val="-0.314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2222222222222223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6572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4356E-3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9444444444444445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06481481481481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8798E-3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0370135052831988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"/>
              <c:y val="-0.324074074074074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006718359520774E-2"/>
          <c:y val="8.9079959362175082E-2"/>
          <c:w val="0.87755684994756433"/>
          <c:h val="0.47828090156184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Sheet3!$K$1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757-4AB1-97C8-C6B56809E22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57-4AB1-97C8-C6B56809E22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757-4AB1-97C8-C6B56809E22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57-4AB1-97C8-C6B56809E22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757-4AB1-97C8-C6B56809E22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57-4AB1-97C8-C6B56809E22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757-4AB1-97C8-C6B56809E22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757-4AB1-97C8-C6B56809E22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757-4AB1-97C8-C6B56809E22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757-4AB1-97C8-C6B56809E22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757-4AB1-97C8-C6B56809E224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757-4AB1-97C8-C6B56809E224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757-4AB1-97C8-C6B56809E224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757-4AB1-97C8-C6B56809E224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757-4AB1-97C8-C6B56809E224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757-4AB1-97C8-C6B56809E224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757-4AB1-97C8-C6B56809E22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757-4AB1-97C8-C6B56809E224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757-4AB1-97C8-C6B56809E224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757-4AB1-97C8-C6B56809E224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C757-4AB1-97C8-C6B56809E224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757-4AB1-97C8-C6B56809E224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757-4AB1-97C8-C6B56809E224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757-4AB1-97C8-C6B56809E224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757-4AB1-97C8-C6B56809E224}"/>
              </c:ext>
            </c:extLst>
          </c:dPt>
          <c:dLbls>
            <c:dLbl>
              <c:idx val="0"/>
              <c:layout>
                <c:manualLayout>
                  <c:x val="-1.3888888888888888E-2"/>
                  <c:y val="-0.11111111111111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57-4AB1-97C8-C6B56809E224}"/>
                </c:ext>
              </c:extLst>
            </c:dLbl>
            <c:dLbl>
              <c:idx val="1"/>
              <c:layout>
                <c:manualLayout>
                  <c:x val="-5.5555555555555558E-3"/>
                  <c:y val="-0.115740740740740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57-4AB1-97C8-C6B56809E224}"/>
                </c:ext>
              </c:extLst>
            </c:dLbl>
            <c:dLbl>
              <c:idx val="2"/>
              <c:layout>
                <c:manualLayout>
                  <c:x val="2.7777777777777649E-3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57-4AB1-97C8-C6B56809E224}"/>
                </c:ext>
              </c:extLst>
            </c:dLbl>
            <c:dLbl>
              <c:idx val="3"/>
              <c:layout>
                <c:manualLayout>
                  <c:x val="1.3888888888888888E-2"/>
                  <c:y val="-0.157407407407407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57-4AB1-97C8-C6B56809E224}"/>
                </c:ext>
              </c:extLst>
            </c:dLbl>
            <c:dLbl>
              <c:idx val="6"/>
              <c:layout>
                <c:manualLayout>
                  <c:x val="-3.3333333333333333E-2"/>
                  <c:y val="-0.101851851851851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57-4AB1-97C8-C6B56809E224}"/>
                </c:ext>
              </c:extLst>
            </c:dLbl>
            <c:dLbl>
              <c:idx val="7"/>
              <c:layout>
                <c:manualLayout>
                  <c:x val="-5.555555555555558E-2"/>
                  <c:y val="-0.157407407407407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57-4AB1-97C8-C6B56809E224}"/>
                </c:ext>
              </c:extLst>
            </c:dLbl>
            <c:dLbl>
              <c:idx val="8"/>
              <c:layout>
                <c:manualLayout>
                  <c:x val="-1.1111111111111162E-2"/>
                  <c:y val="-9.722222222222222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57-4AB1-97C8-C6B56809E224}"/>
                </c:ext>
              </c:extLst>
            </c:dLbl>
            <c:dLbl>
              <c:idx val="9"/>
              <c:layout>
                <c:manualLayout>
                  <c:x val="-4.4444444444444446E-2"/>
                  <c:y val="-0.106481481481481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57-4AB1-97C8-C6B56809E224}"/>
                </c:ext>
              </c:extLst>
            </c:dLbl>
            <c:dLbl>
              <c:idx val="10"/>
              <c:layout>
                <c:manualLayout>
                  <c:x val="-6.3888888888888884E-2"/>
                  <c:y val="-0.314814814814814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757-4AB1-97C8-C6B56809E224}"/>
                </c:ext>
              </c:extLst>
            </c:dLbl>
            <c:dLbl>
              <c:idx val="11"/>
              <c:layout>
                <c:manualLayout>
                  <c:x val="-3.3333333333333333E-2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757-4AB1-97C8-C6B56809E224}"/>
                </c:ext>
              </c:extLst>
            </c:dLbl>
            <c:dLbl>
              <c:idx val="12"/>
              <c:layout>
                <c:manualLayout>
                  <c:x val="-8.3333333333333332E-3"/>
                  <c:y val="-0.1250000000000000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757-4AB1-97C8-C6B56809E224}"/>
                </c:ext>
              </c:extLst>
            </c:dLbl>
            <c:dLbl>
              <c:idx val="13"/>
              <c:layout>
                <c:manualLayout>
                  <c:x val="-2.2222222222222223E-2"/>
                  <c:y val="-0.194444444444444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757-4AB1-97C8-C6B56809E224}"/>
                </c:ext>
              </c:extLst>
            </c:dLbl>
            <c:dLbl>
              <c:idx val="14"/>
              <c:layout>
                <c:manualLayout>
                  <c:x val="-5.5555555555556572E-3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757-4AB1-97C8-C6B56809E224}"/>
                </c:ext>
              </c:extLst>
            </c:dLbl>
            <c:dLbl>
              <c:idx val="16"/>
              <c:layout>
                <c:manualLayout>
                  <c:x val="-8.3333333333334356E-3"/>
                  <c:y val="-8.796296296296296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757-4AB1-97C8-C6B56809E224}"/>
                </c:ext>
              </c:extLst>
            </c:dLbl>
            <c:dLbl>
              <c:idx val="17"/>
              <c:layout>
                <c:manualLayout>
                  <c:x val="-1.9444444444444445E-2"/>
                  <c:y val="-0.194444444444444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757-4AB1-97C8-C6B56809E224}"/>
                </c:ext>
              </c:extLst>
            </c:dLbl>
            <c:dLbl>
              <c:idx val="18"/>
              <c:layout>
                <c:manualLayout>
                  <c:x val="-2.7777777777777779E-3"/>
                  <c:y val="-0.115740740740740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757-4AB1-97C8-C6B56809E224}"/>
                </c:ext>
              </c:extLst>
            </c:dLbl>
            <c:dLbl>
              <c:idx val="20"/>
              <c:layout>
                <c:manualLayout>
                  <c:x val="0"/>
                  <c:y val="-0.1250000000000000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757-4AB1-97C8-C6B56809E224}"/>
                </c:ext>
              </c:extLst>
            </c:dLbl>
            <c:dLbl>
              <c:idx val="22"/>
              <c:layout>
                <c:manualLayout>
                  <c:x val="0"/>
                  <c:y val="-0.106481481481481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757-4AB1-97C8-C6B56809E224}"/>
                </c:ext>
              </c:extLst>
            </c:dLbl>
            <c:dLbl>
              <c:idx val="24"/>
              <c:layout>
                <c:manualLayout>
                  <c:x val="-2.7777777777778798E-3"/>
                  <c:y val="-0.143518518518518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757-4AB1-97C8-C6B56809E224}"/>
                </c:ext>
              </c:extLst>
            </c:dLbl>
            <c:dLbl>
              <c:idx val="25"/>
              <c:layout>
                <c:manualLayout>
                  <c:x val="-1.0185067526415994E-16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757-4AB1-97C8-C6B56809E224}"/>
                </c:ext>
              </c:extLst>
            </c:dLbl>
            <c:dLbl>
              <c:idx val="27"/>
              <c:layout>
                <c:manualLayout>
                  <c:x val="-1.0185067526415994E-16"/>
                  <c:y val="-0.1203703703703703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757-4AB1-97C8-C6B56809E224}"/>
                </c:ext>
              </c:extLst>
            </c:dLbl>
            <c:dLbl>
              <c:idx val="29"/>
              <c:layout>
                <c:manualLayout>
                  <c:x val="-8.3333333333333332E-3"/>
                  <c:y val="-0.203703703703703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757-4AB1-97C8-C6B56809E224}"/>
                </c:ext>
              </c:extLst>
            </c:dLbl>
            <c:dLbl>
              <c:idx val="30"/>
              <c:layout>
                <c:manualLayout>
                  <c:x val="-2.0370135052831988E-16"/>
                  <c:y val="-6.481481481481489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757-4AB1-97C8-C6B56809E224}"/>
                </c:ext>
              </c:extLst>
            </c:dLbl>
            <c:dLbl>
              <c:idx val="31"/>
              <c:layout>
                <c:manualLayout>
                  <c:x val="-1.0185067526415994E-16"/>
                  <c:y val="-0.203703703703703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757-4AB1-97C8-C6B56809E224}"/>
                </c:ext>
              </c:extLst>
            </c:dLbl>
            <c:dLbl>
              <c:idx val="32"/>
              <c:layout>
                <c:manualLayout>
                  <c:x val="-0.1"/>
                  <c:y val="-0.324074074074074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757-4AB1-97C8-C6B56809E2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Sheet3!$J$2:$J$35</c:f>
              <c:strCache>
                <c:ptCount val="33"/>
                <c:pt idx="0">
                  <c:v>1500</c:v>
                </c:pt>
                <c:pt idx="1">
                  <c:v>1800</c:v>
                </c:pt>
                <c:pt idx="2">
                  <c:v>1900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2300</c:v>
                </c:pt>
                <c:pt idx="7">
                  <c:v>2400</c:v>
                </c:pt>
                <c:pt idx="8">
                  <c:v>2500</c:v>
                </c:pt>
                <c:pt idx="9">
                  <c:v>2600</c:v>
                </c:pt>
                <c:pt idx="10">
                  <c:v>2700</c:v>
                </c:pt>
                <c:pt idx="11">
                  <c:v>2800</c:v>
                </c:pt>
                <c:pt idx="12">
                  <c:v>2900</c:v>
                </c:pt>
                <c:pt idx="13">
                  <c:v>3000</c:v>
                </c:pt>
                <c:pt idx="14">
                  <c:v>3100</c:v>
                </c:pt>
                <c:pt idx="15">
                  <c:v>3200</c:v>
                </c:pt>
                <c:pt idx="16">
                  <c:v>3300</c:v>
                </c:pt>
                <c:pt idx="17">
                  <c:v>3500</c:v>
                </c:pt>
                <c:pt idx="18">
                  <c:v>3600</c:v>
                </c:pt>
                <c:pt idx="19">
                  <c:v>3900</c:v>
                </c:pt>
                <c:pt idx="20">
                  <c:v>4000</c:v>
                </c:pt>
                <c:pt idx="21">
                  <c:v>4100</c:v>
                </c:pt>
                <c:pt idx="22">
                  <c:v>4200</c:v>
                </c:pt>
                <c:pt idx="23">
                  <c:v>4300</c:v>
                </c:pt>
                <c:pt idx="24">
                  <c:v>4500</c:v>
                </c:pt>
                <c:pt idx="25">
                  <c:v>4600</c:v>
                </c:pt>
                <c:pt idx="26">
                  <c:v>4700</c:v>
                </c:pt>
                <c:pt idx="27">
                  <c:v>4800</c:v>
                </c:pt>
                <c:pt idx="28">
                  <c:v>5000</c:v>
                </c:pt>
                <c:pt idx="29">
                  <c:v>5100</c:v>
                </c:pt>
                <c:pt idx="30">
                  <c:v>5200</c:v>
                </c:pt>
                <c:pt idx="31">
                  <c:v>5400</c:v>
                </c:pt>
                <c:pt idx="32">
                  <c:v>12000</c:v>
                </c:pt>
              </c:strCache>
            </c:strRef>
          </c:cat>
          <c:val>
            <c:numRef>
              <c:f>Sheet3!$K$2:$K$35</c:f>
              <c:numCache>
                <c:formatCode>General</c:formatCode>
                <c:ptCount val="3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757-4AB1-97C8-C6B56809E2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616544"/>
        <c:axId val="160623744"/>
      </c:barChart>
      <c:catAx>
        <c:axId val="1606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23744"/>
        <c:crosses val="autoZero"/>
        <c:auto val="1"/>
        <c:lblAlgn val="ctr"/>
        <c:lblOffset val="100"/>
        <c:noMultiLvlLbl val="0"/>
      </c:catAx>
      <c:valAx>
        <c:axId val="160623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61654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chart" Target="../charts/chart5.xml"/><Relationship Id="rId7" Type="http://schemas.openxmlformats.org/officeDocument/2006/relationships/image" Target="../media/image4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image" Target="../media/image7.svg"/><Relationship Id="rId4" Type="http://schemas.openxmlformats.org/officeDocument/2006/relationships/chart" Target="../charts/chart6.xm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110490</xdr:rowOff>
    </xdr:from>
    <xdr:to>
      <xdr:col>4</xdr:col>
      <xdr:colOff>769620</xdr:colOff>
      <xdr:row>37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21523-F017-F8A5-AD9A-72D5C5A97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739140</xdr:colOff>
      <xdr:row>19</xdr:row>
      <xdr:rowOff>99060</xdr:rowOff>
    </xdr:from>
    <xdr:to>
      <xdr:col>8</xdr:col>
      <xdr:colOff>541020</xdr:colOff>
      <xdr:row>34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66877C-B61E-0792-C1FB-A199350F4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1021080</xdr:colOff>
      <xdr:row>41</xdr:row>
      <xdr:rowOff>148590</xdr:rowOff>
    </xdr:from>
    <xdr:to>
      <xdr:col>9</xdr:col>
      <xdr:colOff>1211580</xdr:colOff>
      <xdr:row>56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4A45B3-27A8-5BEE-E54C-9557519D3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495300</xdr:colOff>
      <xdr:row>40</xdr:row>
      <xdr:rowOff>49530</xdr:rowOff>
    </xdr:from>
    <xdr:to>
      <xdr:col>16</xdr:col>
      <xdr:colOff>495300</xdr:colOff>
      <xdr:row>55</xdr:row>
      <xdr:rowOff>49530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C472CA-F715-9F20-7B12-B6F292E77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7620</xdr:colOff>
      <xdr:row>8</xdr:row>
      <xdr:rowOff>83820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19925F3-E124-D0FF-83EB-CE68220F05CB}"/>
            </a:ext>
          </a:extLst>
        </xdr:cNvPr>
        <xdr:cNvSpPr/>
      </xdr:nvSpPr>
      <xdr:spPr>
        <a:xfrm>
          <a:off x="0" y="0"/>
          <a:ext cx="12235062" cy="1572378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PERSONAL FINANCE BUDGET DASH BOARD</a:t>
          </a:r>
        </a:p>
        <a:p>
          <a:pPr lvl="0" algn="ctr"/>
          <a:r>
            <a:rPr lang="en-IN" sz="1100" b="0" cap="none" spc="0">
              <a:ln w="0"/>
              <a:solidFill>
                <a:srgbClr val="FFC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PERSONAL</a:t>
          </a:r>
          <a:r>
            <a:rPr lang="en-IN" sz="1100" b="0" cap="none" spc="0" baseline="0">
              <a:ln w="0"/>
              <a:solidFill>
                <a:srgbClr val="FFC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BUDGET MONTHLY DASH BOARD</a:t>
          </a:r>
          <a:endParaRPr lang="en-IN" sz="1100" b="0" cap="none" spc="0">
            <a:ln w="0"/>
            <a:solidFill>
              <a:srgbClr val="FFC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6</xdr:col>
      <xdr:colOff>281940</xdr:colOff>
      <xdr:row>6</xdr:row>
      <xdr:rowOff>114300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8C4549-61DA-02F6-6B21-05CD23B031BB}"/>
            </a:ext>
          </a:extLst>
        </xdr:cNvPr>
        <xdr:cNvSpPr txBox="1"/>
      </xdr:nvSpPr>
      <xdr:spPr>
        <a:xfrm>
          <a:off x="3939540" y="1211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228600</xdr:colOff>
      <xdr:row>0</xdr:row>
      <xdr:rowOff>30480</xdr:rowOff>
    </xdr:from>
    <xdr:to>
      <xdr:col>1</xdr:col>
      <xdr:colOff>274320</xdr:colOff>
      <xdr:row>1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A08292D-BACA-47E6-B668-1E60A447CE2F}"/>
            </a:ext>
          </a:extLst>
        </xdr:cNvPr>
        <xdr:cNvSpPr txBox="1"/>
      </xdr:nvSpPr>
      <xdr:spPr>
        <a:xfrm>
          <a:off x="228600" y="30480"/>
          <a:ext cx="655320" cy="22860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FFC000"/>
              </a:solidFill>
            </a:rPr>
            <a:t>PERIOD</a:t>
          </a:r>
        </a:p>
      </xdr:txBody>
    </xdr:sp>
    <xdr:clientData/>
  </xdr:twoCellAnchor>
  <xdr:oneCellAnchor>
    <xdr:from>
      <xdr:col>0</xdr:col>
      <xdr:colOff>342900</xdr:colOff>
      <xdr:row>0</xdr:row>
      <xdr:rowOff>129540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FDBD7AB-92D7-9F0D-F2A9-A54E33538791}"/>
            </a:ext>
          </a:extLst>
        </xdr:cNvPr>
        <xdr:cNvSpPr txBox="1"/>
      </xdr:nvSpPr>
      <xdr:spPr>
        <a:xfrm>
          <a:off x="342900" y="129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213360</xdr:colOff>
      <xdr:row>1</xdr:row>
      <xdr:rowOff>160020</xdr:rowOff>
    </xdr:from>
    <xdr:ext cx="716280" cy="27432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BF85755-1CF8-7FF1-9B4F-83861F47FFC9}"/>
            </a:ext>
          </a:extLst>
        </xdr:cNvPr>
        <xdr:cNvSpPr txBox="1"/>
      </xdr:nvSpPr>
      <xdr:spPr>
        <a:xfrm>
          <a:off x="213360" y="342900"/>
          <a:ext cx="71628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100"/>
            <a:t>JANUARY</a:t>
          </a:r>
        </a:p>
      </xdr:txBody>
    </xdr:sp>
    <xdr:clientData/>
  </xdr:oneCellAnchor>
  <xdr:twoCellAnchor>
    <xdr:from>
      <xdr:col>0</xdr:col>
      <xdr:colOff>142875</xdr:colOff>
      <xdr:row>3</xdr:row>
      <xdr:rowOff>34290</xdr:rowOff>
    </xdr:from>
    <xdr:to>
      <xdr:col>3</xdr:col>
      <xdr:colOff>470535</xdr:colOff>
      <xdr:row>8</xdr:row>
      <xdr:rowOff>57150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78EB440-87CD-285C-1F2E-E2853848177F}"/>
            </a:ext>
            <a:ext uri="{147F2762-F138-4A5C-976F-8EAC2B608ADB}">
              <a16:predDERef xmlns:a16="http://schemas.microsoft.com/office/drawing/2014/main" pred="{BBF85755-1CF8-7FF1-9B4F-83861F47FFC9}"/>
            </a:ext>
          </a:extLst>
        </xdr:cNvPr>
        <xdr:cNvSpPr/>
      </xdr:nvSpPr>
      <xdr:spPr>
        <a:xfrm>
          <a:off x="142875" y="548640"/>
          <a:ext cx="2385060" cy="88011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1200"/>
            <a:t> </a:t>
          </a:r>
          <a:r>
            <a:rPr lang="en-IN" sz="1200" b="1"/>
            <a:t>CURRENT</a:t>
          </a:r>
          <a:r>
            <a:rPr lang="en-IN" sz="1200" b="1" baseline="0"/>
            <a:t> BALANCE</a:t>
          </a:r>
          <a:endParaRPr lang="en-IN" sz="1200" b="1"/>
        </a:p>
      </xdr:txBody>
    </xdr:sp>
    <xdr:clientData/>
  </xdr:twoCellAnchor>
  <xdr:twoCellAnchor>
    <xdr:from>
      <xdr:col>4</xdr:col>
      <xdr:colOff>221513</xdr:colOff>
      <xdr:row>3</xdr:row>
      <xdr:rowOff>35618</xdr:rowOff>
    </xdr:from>
    <xdr:to>
      <xdr:col>7</xdr:col>
      <xdr:colOff>504160</xdr:colOff>
      <xdr:row>8</xdr:row>
      <xdr:rowOff>41644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720BE16-A16C-7B04-B779-9D7D0431749D}"/>
            </a:ext>
            <a:ext uri="{147F2762-F138-4A5C-976F-8EAC2B608ADB}">
              <a16:predDERef xmlns:a16="http://schemas.microsoft.com/office/drawing/2014/main" pred="{778EB440-87CD-285C-1F2E-E2853848177F}"/>
            </a:ext>
          </a:extLst>
        </xdr:cNvPr>
        <xdr:cNvSpPr/>
      </xdr:nvSpPr>
      <xdr:spPr>
        <a:xfrm>
          <a:off x="2964713" y="549968"/>
          <a:ext cx="2340047" cy="86327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  <a:p>
          <a:pPr lvl="1" algn="ctr"/>
          <a:r>
            <a:rPr lang="en-IN" sz="1100" b="1">
              <a:solidFill>
                <a:schemeClr val="tx1">
                  <a:lumMod val="95000"/>
                  <a:lumOff val="5000"/>
                </a:schemeClr>
              </a:solidFill>
            </a:rPr>
            <a:t>Total Expences by Category(Food)=</a:t>
          </a:r>
          <a:r>
            <a:rPr lang="en-IN" sz="11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55800</a:t>
          </a:r>
          <a:r>
            <a:rPr lang="en-IN" b="1"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 </a:t>
          </a:r>
          <a:endParaRPr lang="en-IN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8</xdr:col>
      <xdr:colOff>432833</xdr:colOff>
      <xdr:row>3</xdr:row>
      <xdr:rowOff>49708</xdr:rowOff>
    </xdr:from>
    <xdr:to>
      <xdr:col>11</xdr:col>
      <xdr:colOff>627762</xdr:colOff>
      <xdr:row>8</xdr:row>
      <xdr:rowOff>49708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4DFD64A-7574-D371-7D95-0EF2E0C23A6E}"/>
            </a:ext>
            <a:ext uri="{147F2762-F138-4A5C-976F-8EAC2B608ADB}">
              <a16:predDERef xmlns:a16="http://schemas.microsoft.com/office/drawing/2014/main" pred="{2720BE16-A16C-7B04-B779-9D7D0431749D}"/>
            </a:ext>
          </a:extLst>
        </xdr:cNvPr>
        <xdr:cNvSpPr/>
      </xdr:nvSpPr>
      <xdr:spPr>
        <a:xfrm>
          <a:off x="5919233" y="564058"/>
          <a:ext cx="2252329" cy="857250"/>
        </a:xfrm>
        <a:prstGeom prst="roundRect">
          <a:avLst>
            <a:gd name="adj" fmla="val 1183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r"/>
          <a:r>
            <a:rPr lang="en-IN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Average</a:t>
          </a:r>
          <a:r>
            <a:rPr lang="en-IN" sz="1800">
              <a:effectLst/>
            </a:rPr>
            <a:t>                </a:t>
          </a:r>
          <a:r>
            <a:rPr lang="en-IN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4796.610169</a:t>
          </a:r>
          <a:r>
            <a:rPr lang="en-IN" sz="1800">
              <a:effectLst/>
            </a:rPr>
            <a:t> </a:t>
          </a:r>
          <a:endParaRPr lang="en-IN" sz="1800"/>
        </a:p>
      </xdr:txBody>
    </xdr:sp>
    <xdr:clientData/>
  </xdr:twoCellAnchor>
  <xdr:twoCellAnchor>
    <xdr:from>
      <xdr:col>12</xdr:col>
      <xdr:colOff>639850</xdr:colOff>
      <xdr:row>3</xdr:row>
      <xdr:rowOff>90200</xdr:rowOff>
    </xdr:from>
    <xdr:to>
      <xdr:col>17</xdr:col>
      <xdr:colOff>45857</xdr:colOff>
      <xdr:row>8</xdr:row>
      <xdr:rowOff>90200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5F679B2-CC7B-EF08-9214-43908F1C8AFC}"/>
            </a:ext>
          </a:extLst>
        </xdr:cNvPr>
        <xdr:cNvSpPr/>
      </xdr:nvSpPr>
      <xdr:spPr>
        <a:xfrm>
          <a:off x="8660903" y="611568"/>
          <a:ext cx="2748112" cy="86894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Total   expences    by month</a:t>
          </a:r>
          <a:r>
            <a:rPr lang="en-IN" sz="1800">
              <a:effectLst/>
            </a:rPr>
            <a:t> </a:t>
          </a:r>
          <a:r>
            <a:rPr lang="en-IN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23900</a:t>
          </a:r>
          <a:r>
            <a:rPr lang="en-IN" sz="1800">
              <a:effectLst/>
            </a:rPr>
            <a:t> </a:t>
          </a:r>
          <a:endParaRPr lang="en-IN" sz="1800"/>
        </a:p>
      </xdr:txBody>
    </xdr:sp>
    <xdr:clientData/>
  </xdr:twoCellAnchor>
  <xdr:twoCellAnchor editAs="oneCell">
    <xdr:from>
      <xdr:col>0</xdr:col>
      <xdr:colOff>85725</xdr:colOff>
      <xdr:row>3</xdr:row>
      <xdr:rowOff>57150</xdr:rowOff>
    </xdr:from>
    <xdr:to>
      <xdr:col>1</xdr:col>
      <xdr:colOff>298022</xdr:colOff>
      <xdr:row>7</xdr:row>
      <xdr:rowOff>46872</xdr:rowOff>
    </xdr:to>
    <xdr:pic>
      <xdr:nvPicPr>
        <xdr:cNvPr id="13" name="Graphic 12" descr="Bar graph with upward trend with solid fill">
          <a:extLst>
            <a:ext uri="{FF2B5EF4-FFF2-40B4-BE49-F238E27FC236}">
              <a16:creationId xmlns:a16="http://schemas.microsoft.com/office/drawing/2014/main" id="{16A8166C-B0B3-2941-A136-6AB52736FB2D}"/>
            </a:ext>
            <a:ext uri="{147F2762-F138-4A5C-976F-8EAC2B608ADB}">
              <a16:predDERef xmlns:a16="http://schemas.microsoft.com/office/drawing/2014/main" pred="{D5F679B2-CC7B-EF08-9214-43908F1C8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571500"/>
          <a:ext cx="898097" cy="675522"/>
        </a:xfrm>
        <a:prstGeom prst="rect">
          <a:avLst/>
        </a:prstGeom>
      </xdr:spPr>
    </xdr:pic>
    <xdr:clientData/>
  </xdr:twoCellAnchor>
  <xdr:twoCellAnchor>
    <xdr:from>
      <xdr:col>0</xdr:col>
      <xdr:colOff>60960</xdr:colOff>
      <xdr:row>8</xdr:row>
      <xdr:rowOff>144780</xdr:rowOff>
    </xdr:from>
    <xdr:to>
      <xdr:col>9</xdr:col>
      <xdr:colOff>213360</xdr:colOff>
      <xdr:row>22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38A4394-1EC4-4A0D-B5E3-0B7F3E44D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527996</xdr:colOff>
      <xdr:row>8</xdr:row>
      <xdr:rowOff>126617</xdr:rowOff>
    </xdr:from>
    <xdr:to>
      <xdr:col>19</xdr:col>
      <xdr:colOff>281320</xdr:colOff>
      <xdr:row>23</xdr:row>
      <xdr:rowOff>111332</xdr:rowOff>
    </xdr:to>
    <xdr:graphicFrame macro="">
      <xdr:nvGraphicFramePr>
        <xdr:cNvPr id="12" name="Chart 14">
          <a:extLst>
            <a:ext uri="{FF2B5EF4-FFF2-40B4-BE49-F238E27FC236}">
              <a16:creationId xmlns:a16="http://schemas.microsoft.com/office/drawing/2014/main" id="{72FCC9E7-84FF-4810-83E6-4C3AF92AEC0F}"/>
            </a:ext>
            <a:ext uri="{147F2762-F138-4A5C-976F-8EAC2B608ADB}">
              <a16:predDERef xmlns:a16="http://schemas.microsoft.com/office/drawing/2014/main" pred="{F38A4394-1EC4-4A0D-B5E3-0B7F3E44D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20</xdr:row>
      <xdr:rowOff>96225</xdr:rowOff>
    </xdr:from>
    <xdr:to>
      <xdr:col>8</xdr:col>
      <xdr:colOff>522767</xdr:colOff>
      <xdr:row>36</xdr:row>
      <xdr:rowOff>124047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862187C-B1F0-49F5-9A76-0DF94790D478}"/>
            </a:ext>
            <a:ext uri="{147F2762-F138-4A5C-976F-8EAC2B608ADB}">
              <a16:predDERef xmlns:a16="http://schemas.microsoft.com/office/drawing/2014/main" pred="{72FCC9E7-84FF-4810-83E6-4C3AF92AE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543678</xdr:colOff>
      <xdr:row>23</xdr:row>
      <xdr:rowOff>139641</xdr:rowOff>
    </xdr:from>
    <xdr:to>
      <xdr:col>19</xdr:col>
      <xdr:colOff>284598</xdr:colOff>
      <xdr:row>36</xdr:row>
      <xdr:rowOff>106325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526A46C-24A8-4964-A299-370683BDB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4</xdr:col>
      <xdr:colOff>268916</xdr:colOff>
      <xdr:row>3</xdr:row>
      <xdr:rowOff>81738</xdr:rowOff>
    </xdr:from>
    <xdr:to>
      <xdr:col>5</xdr:col>
      <xdr:colOff>366381</xdr:colOff>
      <xdr:row>5</xdr:row>
      <xdr:rowOff>161482</xdr:rowOff>
    </xdr:to>
    <xdr:pic>
      <xdr:nvPicPr>
        <xdr:cNvPr id="20" name="Graphic 19" descr="Statistics with solid fill">
          <a:extLst>
            <a:ext uri="{FF2B5EF4-FFF2-40B4-BE49-F238E27FC236}">
              <a16:creationId xmlns:a16="http://schemas.microsoft.com/office/drawing/2014/main" id="{FF96A3DE-01B1-BAEC-A21A-AE134A6FFA92}"/>
            </a:ext>
            <a:ext uri="{147F2762-F138-4A5C-976F-8EAC2B608ADB}">
              <a16:predDERef xmlns:a16="http://schemas.microsoft.com/office/drawing/2014/main" pred="{E3D1E4CD-44EA-D219-A4E9-A21306B85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012116" y="596088"/>
          <a:ext cx="783265" cy="422644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3</xdr:row>
      <xdr:rowOff>19050</xdr:rowOff>
    </xdr:from>
    <xdr:to>
      <xdr:col>9</xdr:col>
      <xdr:colOff>561975</xdr:colOff>
      <xdr:row>7</xdr:row>
      <xdr:rowOff>152400</xdr:rowOff>
    </xdr:to>
    <xdr:pic>
      <xdr:nvPicPr>
        <xdr:cNvPr id="22" name="Graphic 21" descr="Scales of justice with solid fill">
          <a:extLst>
            <a:ext uri="{FF2B5EF4-FFF2-40B4-BE49-F238E27FC236}">
              <a16:creationId xmlns:a16="http://schemas.microsoft.com/office/drawing/2014/main" id="{C27F4AC1-AEEC-81EC-36E0-3F9FD3183688}"/>
            </a:ext>
            <a:ext uri="{147F2762-F138-4A5C-976F-8EAC2B608ADB}">
              <a16:predDERef xmlns:a16="http://schemas.microsoft.com/office/drawing/2014/main" pred="{FF96A3DE-01B1-BAEC-A21A-AE134A6FF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876925" y="533400"/>
          <a:ext cx="857250" cy="819150"/>
        </a:xfrm>
        <a:prstGeom prst="rect">
          <a:avLst/>
        </a:prstGeom>
      </xdr:spPr>
    </xdr:pic>
    <xdr:clientData/>
  </xdr:twoCellAnchor>
  <xdr:twoCellAnchor editAs="oneCell">
    <xdr:from>
      <xdr:col>12</xdr:col>
      <xdr:colOff>622005</xdr:colOff>
      <xdr:row>3</xdr:row>
      <xdr:rowOff>66897</xdr:rowOff>
    </xdr:from>
    <xdr:to>
      <xdr:col>13</xdr:col>
      <xdr:colOff>622004</xdr:colOff>
      <xdr:row>7</xdr:row>
      <xdr:rowOff>158603</xdr:rowOff>
    </xdr:to>
    <xdr:pic>
      <xdr:nvPicPr>
        <xdr:cNvPr id="24" name="Graphic 23" descr="Bar graph with upward trend with solid fill">
          <a:extLst>
            <a:ext uri="{FF2B5EF4-FFF2-40B4-BE49-F238E27FC236}">
              <a16:creationId xmlns:a16="http://schemas.microsoft.com/office/drawing/2014/main" id="{3C702174-5015-7A4F-AA33-76C5BB41BD30}"/>
            </a:ext>
            <a:ext uri="{147F2762-F138-4A5C-976F-8EAC2B608ADB}">
              <a16:predDERef xmlns:a16="http://schemas.microsoft.com/office/drawing/2014/main" pred="{C27F4AC1-AEEC-81EC-36E0-3F9FD3183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51605" y="581247"/>
          <a:ext cx="685799" cy="777506"/>
        </a:xfrm>
        <a:prstGeom prst="rect">
          <a:avLst/>
        </a:prstGeom>
      </xdr:spPr>
    </xdr:pic>
    <xdr:clientData/>
  </xdr:twoCellAnchor>
  <xdr:oneCellAnchor>
    <xdr:from>
      <xdr:col>1</xdr:col>
      <xdr:colOff>265815</xdr:colOff>
      <xdr:row>5</xdr:row>
      <xdr:rowOff>88604</xdr:rowOff>
    </xdr:from>
    <xdr:ext cx="1027336" cy="2923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9BE94B2-6FBB-39A4-5571-EC76EFF85DBF}"/>
            </a:ext>
          </a:extLst>
        </xdr:cNvPr>
        <xdr:cNvSpPr txBox="1"/>
      </xdr:nvSpPr>
      <xdr:spPr>
        <a:xfrm>
          <a:off x="939210" y="974651"/>
          <a:ext cx="1027336" cy="2923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8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=283000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oneCellAnchor>
  <xdr:oneCellAnchor>
    <xdr:from>
      <xdr:col>14</xdr:col>
      <xdr:colOff>434162</xdr:colOff>
      <xdr:row>6</xdr:row>
      <xdr:rowOff>150627</xdr:rowOff>
    </xdr:from>
    <xdr:ext cx="920508" cy="3157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0F93DCC-BFF2-AADD-E82E-EF8B2014ABCB}"/>
            </a:ext>
          </a:extLst>
        </xdr:cNvPr>
        <xdr:cNvSpPr txBox="1"/>
      </xdr:nvSpPr>
      <xdr:spPr>
        <a:xfrm>
          <a:off x="9861697" y="1213883"/>
          <a:ext cx="920508" cy="3157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=23900</a:t>
          </a:r>
          <a:r>
            <a:rPr lang="en-IN" sz="1600" b="1">
              <a:effectLst/>
            </a:rPr>
            <a:t> </a:t>
          </a:r>
          <a:endParaRPr lang="en-IN" sz="16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KALA SRINIVASARAO" refreshedDate="46043.415779166666" createdVersion="8" refreshedVersion="8" minRefreshableVersion="3" recordCount="60" xr:uid="{7370977F-B68A-4869-A561-F8BE737F2EEA}">
  <cacheSource type="worksheet">
    <worksheetSource ref="A1:E61" sheet="Sheet2"/>
  </cacheSource>
  <cacheFields count="7">
    <cacheField name="Date" numFmtId="14">
      <sharedItems containsSemiMixedTypes="0" containsNonDate="0" containsDate="1" containsString="0" minDate="2025-01-05T00:00:00" maxDate="2025-12-27T00:00:00" count="60">
        <d v="2025-01-05T00:00:00"/>
        <d v="2025-01-08T00:00:00"/>
        <d v="2025-01-12T00:00:00"/>
        <d v="2025-01-18T00:00:00"/>
        <d v="2025-01-25T00:00:00"/>
        <d v="2025-02-05T00:00:00"/>
        <d v="2025-02-09T00:00:00"/>
        <d v="2025-02-12T00:00:00"/>
        <d v="2025-02-18T00:00:00"/>
        <d v="2025-02-24T00:00:00"/>
        <d v="2025-03-05T00:00:00"/>
        <d v="2025-03-08T00:00:00"/>
        <d v="2025-03-14T00:00:00"/>
        <d v="2025-03-20T00:00:00"/>
        <d v="2025-03-26T00:00:00"/>
        <d v="2025-04-05T00:00:00"/>
        <d v="2025-04-09T00:00:00"/>
        <d v="2025-04-13T00:00:00"/>
        <d v="2025-04-19T00:00:00"/>
        <d v="2025-04-25T00:00:00"/>
        <d v="2025-05-05T00:00:00"/>
        <d v="2025-05-08T00:00:00"/>
        <d v="2025-05-14T00:00:00"/>
        <d v="2025-05-20T00:00:00"/>
        <d v="2025-05-26T00:00:00"/>
        <d v="2025-06-05T00:00:00"/>
        <d v="2025-06-09T00:00:00"/>
        <d v="2025-06-13T00:00:00"/>
        <d v="2025-06-18T00:00:00"/>
        <d v="2025-06-25T00:00:00"/>
        <d v="2025-07-05T00:00:00"/>
        <d v="2025-07-08T00:00:00"/>
        <d v="2025-07-12T00:00:00"/>
        <d v="2025-07-19T00:00:00"/>
        <d v="2025-07-26T00:00:00"/>
        <d v="2025-08-05T00:00:00"/>
        <d v="2025-08-09T00:00:00"/>
        <d v="2025-08-14T00:00:00"/>
        <d v="2025-08-20T00:00:00"/>
        <d v="2025-08-26T00:00:00"/>
        <d v="2025-09-05T00:00:00"/>
        <d v="2025-09-08T00:00:00"/>
        <d v="2025-09-13T00:00:00"/>
        <d v="2025-09-18T00:00:00"/>
        <d v="2025-09-25T00:00:00"/>
        <d v="2025-10-05T00:00:00"/>
        <d v="2025-10-09T00:00:00"/>
        <d v="2025-10-14T00:00:00"/>
        <d v="2025-10-20T00:00:00"/>
        <d v="2025-10-26T00:00:00"/>
        <d v="2025-11-05T00:00:00"/>
        <d v="2025-11-08T00:00:00"/>
        <d v="2025-11-13T00:00:00"/>
        <d v="2025-11-19T00:00:00"/>
        <d v="2025-11-25T00:00:00"/>
        <d v="2025-12-05T00:00:00"/>
        <d v="2025-12-09T00:00:00"/>
        <d v="2025-12-14T00:00:00"/>
        <d v="2025-12-20T00:00:00"/>
        <d v="2025-12-26T00:00:00"/>
      </sharedItems>
      <fieldGroup par="6"/>
    </cacheField>
    <cacheField name="Month" numFmtId="0">
      <sharedItems/>
    </cacheField>
    <cacheField name="Category" numFmtId="0">
      <sharedItems count="5">
        <s v="Rent"/>
        <s v="Food"/>
        <s v="Transport"/>
        <s v="Entertainment"/>
        <s v="Utilities"/>
      </sharedItems>
    </cacheField>
    <cacheField name="Discription" numFmtId="0">
      <sharedItems count="14">
        <s v="House Rent"/>
        <s v="Groceries"/>
        <s v="Bus&amp;Fuel"/>
        <s v="Movies"/>
        <s v="Electricity bill"/>
        <s v="Water&amp;Power"/>
        <s v="Bus pass"/>
        <s v="Outgoing"/>
        <s v="Fuel"/>
        <s v="Shopping"/>
        <s v="Trip"/>
        <s v="Festival Shopping"/>
        <s v="Travel"/>
        <s v="Year-End Party"/>
      </sharedItems>
    </cacheField>
    <cacheField name="Actual amount" numFmtId="0">
      <sharedItems containsSemiMixedTypes="0" containsString="0" containsNumber="1" containsInteger="1" minValue="1500" maxValue="12000" count="33">
        <n v="12000"/>
        <n v="4200"/>
        <n v="2800"/>
        <n v="2300"/>
        <n v="2600"/>
        <n v="5100"/>
        <n v="3200"/>
        <n v="1900"/>
        <n v="2400"/>
        <n v="3900"/>
        <n v="1500"/>
        <n v="4500"/>
        <n v="3000"/>
        <n v="2200"/>
        <n v="2500"/>
        <n v="4800"/>
        <n v="2900"/>
        <n v="2100"/>
        <n v="5200"/>
        <n v="3300"/>
        <n v="2700"/>
        <n v="4100"/>
        <n v="1800"/>
        <n v="4700"/>
        <n v="3100"/>
        <n v="4300"/>
        <n v="2000"/>
        <n v="5000"/>
        <n v="3500"/>
        <n v="4600"/>
        <n v="5400"/>
        <n v="3600"/>
        <n v="4000"/>
      </sharedItems>
    </cacheField>
    <cacheField name="Days (Date)" numFmtId="0" databaseField="0">
      <fieldGroup base="0">
        <rangePr groupBy="days" startDate="2025-01-05T00:00:00" endDate="2025-12-27T00:00:00"/>
        <groupItems count="368">
          <s v="&lt;05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-12-2025"/>
        </groupItems>
      </fieldGroup>
    </cacheField>
    <cacheField name="Months (Date)" numFmtId="0" databaseField="0">
      <fieldGroup base="0">
        <rangePr groupBy="months" startDate="2025-01-05T00:00:00" endDate="2025-12-27T00:00:00"/>
        <groupItems count="14">
          <s v="&lt;05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January"/>
    <x v="0"/>
    <x v="0"/>
    <x v="0"/>
  </r>
  <r>
    <x v="1"/>
    <s v="January"/>
    <x v="1"/>
    <x v="1"/>
    <x v="1"/>
  </r>
  <r>
    <x v="2"/>
    <s v="January"/>
    <x v="2"/>
    <x v="2"/>
    <x v="2"/>
  </r>
  <r>
    <x v="3"/>
    <s v="January"/>
    <x v="3"/>
    <x v="3"/>
    <x v="3"/>
  </r>
  <r>
    <x v="4"/>
    <s v="January"/>
    <x v="4"/>
    <x v="4"/>
    <x v="4"/>
  </r>
  <r>
    <x v="5"/>
    <s v="February"/>
    <x v="0"/>
    <x v="0"/>
    <x v="0"/>
  </r>
  <r>
    <x v="6"/>
    <s v="February"/>
    <x v="1"/>
    <x v="1"/>
    <x v="5"/>
  </r>
  <r>
    <x v="7"/>
    <s v="February"/>
    <x v="2"/>
    <x v="2"/>
    <x v="6"/>
  </r>
  <r>
    <x v="8"/>
    <s v="February"/>
    <x v="3"/>
    <x v="3"/>
    <x v="7"/>
  </r>
  <r>
    <x v="9"/>
    <s v="February"/>
    <x v="4"/>
    <x v="5"/>
    <x v="8"/>
  </r>
  <r>
    <x v="10"/>
    <s v="March"/>
    <x v="0"/>
    <x v="0"/>
    <x v="0"/>
  </r>
  <r>
    <x v="11"/>
    <s v="March"/>
    <x v="1"/>
    <x v="1"/>
    <x v="9"/>
  </r>
  <r>
    <x v="12"/>
    <s v="March"/>
    <x v="2"/>
    <x v="6"/>
    <x v="4"/>
  </r>
  <r>
    <x v="13"/>
    <s v="March"/>
    <x v="3"/>
    <x v="7"/>
    <x v="10"/>
  </r>
  <r>
    <x v="14"/>
    <s v="March"/>
    <x v="4"/>
    <x v="4"/>
    <x v="3"/>
  </r>
  <r>
    <x v="15"/>
    <s v="April"/>
    <x v="0"/>
    <x v="0"/>
    <x v="0"/>
  </r>
  <r>
    <x v="16"/>
    <s v="April"/>
    <x v="1"/>
    <x v="1"/>
    <x v="11"/>
  </r>
  <r>
    <x v="17"/>
    <s v="April"/>
    <x v="2"/>
    <x v="8"/>
    <x v="12"/>
  </r>
  <r>
    <x v="18"/>
    <s v="April"/>
    <x v="3"/>
    <x v="3"/>
    <x v="13"/>
  </r>
  <r>
    <x v="19"/>
    <s v="April"/>
    <x v="4"/>
    <x v="4"/>
    <x v="14"/>
  </r>
  <r>
    <x v="20"/>
    <s v="May"/>
    <x v="0"/>
    <x v="0"/>
    <x v="0"/>
  </r>
  <r>
    <x v="21"/>
    <s v="May"/>
    <x v="1"/>
    <x v="1"/>
    <x v="15"/>
  </r>
  <r>
    <x v="22"/>
    <s v="May"/>
    <x v="2"/>
    <x v="8"/>
    <x v="16"/>
  </r>
  <r>
    <x v="23"/>
    <s v="May"/>
    <x v="3"/>
    <x v="9"/>
    <x v="17"/>
  </r>
  <r>
    <x v="24"/>
    <s v="May"/>
    <x v="4"/>
    <x v="4"/>
    <x v="4"/>
  </r>
  <r>
    <x v="25"/>
    <s v="June"/>
    <x v="0"/>
    <x v="0"/>
    <x v="0"/>
  </r>
  <r>
    <x v="26"/>
    <s v="June"/>
    <x v="1"/>
    <x v="1"/>
    <x v="18"/>
  </r>
  <r>
    <x v="27"/>
    <s v="June"/>
    <x v="2"/>
    <x v="8"/>
    <x v="19"/>
  </r>
  <r>
    <x v="28"/>
    <s v="June"/>
    <x v="3"/>
    <x v="10"/>
    <x v="2"/>
  </r>
  <r>
    <x v="29"/>
    <s v="June"/>
    <x v="4"/>
    <x v="4"/>
    <x v="20"/>
  </r>
  <r>
    <x v="30"/>
    <s v="July"/>
    <x v="0"/>
    <x v="0"/>
    <x v="0"/>
  </r>
  <r>
    <x v="31"/>
    <s v="July"/>
    <x v="1"/>
    <x v="1"/>
    <x v="21"/>
  </r>
  <r>
    <x v="32"/>
    <s v="July"/>
    <x v="2"/>
    <x v="6"/>
    <x v="4"/>
  </r>
  <r>
    <x v="33"/>
    <s v="July"/>
    <x v="3"/>
    <x v="3"/>
    <x v="22"/>
  </r>
  <r>
    <x v="34"/>
    <s v="July"/>
    <x v="4"/>
    <x v="4"/>
    <x v="8"/>
  </r>
  <r>
    <x v="35"/>
    <s v="August"/>
    <x v="0"/>
    <x v="0"/>
    <x v="0"/>
  </r>
  <r>
    <x v="36"/>
    <s v="August"/>
    <x v="1"/>
    <x v="1"/>
    <x v="23"/>
  </r>
  <r>
    <x v="37"/>
    <s v="August"/>
    <x v="2"/>
    <x v="8"/>
    <x v="24"/>
  </r>
  <r>
    <x v="38"/>
    <s v="August"/>
    <x v="3"/>
    <x v="9"/>
    <x v="13"/>
  </r>
  <r>
    <x v="39"/>
    <s v="August"/>
    <x v="4"/>
    <x v="4"/>
    <x v="14"/>
  </r>
  <r>
    <x v="40"/>
    <s v="September"/>
    <x v="0"/>
    <x v="0"/>
    <x v="0"/>
  </r>
  <r>
    <x v="41"/>
    <s v="September"/>
    <x v="1"/>
    <x v="1"/>
    <x v="25"/>
  </r>
  <r>
    <x v="42"/>
    <s v="September"/>
    <x v="2"/>
    <x v="6"/>
    <x v="20"/>
  </r>
  <r>
    <x v="43"/>
    <s v="September"/>
    <x v="3"/>
    <x v="7"/>
    <x v="26"/>
  </r>
  <r>
    <x v="44"/>
    <s v="September"/>
    <x v="4"/>
    <x v="4"/>
    <x v="8"/>
  </r>
  <r>
    <x v="45"/>
    <s v="October"/>
    <x v="0"/>
    <x v="0"/>
    <x v="0"/>
  </r>
  <r>
    <x v="46"/>
    <s v="October"/>
    <x v="1"/>
    <x v="1"/>
    <x v="27"/>
  </r>
  <r>
    <x v="47"/>
    <s v="October"/>
    <x v="2"/>
    <x v="8"/>
    <x v="6"/>
  </r>
  <r>
    <x v="48"/>
    <s v="October"/>
    <x v="3"/>
    <x v="11"/>
    <x v="28"/>
  </r>
  <r>
    <x v="49"/>
    <s v="October"/>
    <x v="4"/>
    <x v="4"/>
    <x v="2"/>
  </r>
  <r>
    <x v="50"/>
    <s v="November"/>
    <x v="0"/>
    <x v="0"/>
    <x v="0"/>
  </r>
  <r>
    <x v="51"/>
    <s v="November"/>
    <x v="1"/>
    <x v="1"/>
    <x v="29"/>
  </r>
  <r>
    <x v="52"/>
    <s v="November"/>
    <x v="2"/>
    <x v="8"/>
    <x v="12"/>
  </r>
  <r>
    <x v="53"/>
    <s v="November"/>
    <x v="3"/>
    <x v="3"/>
    <x v="17"/>
  </r>
  <r>
    <x v="54"/>
    <s v="November"/>
    <x v="4"/>
    <x v="4"/>
    <x v="4"/>
  </r>
  <r>
    <x v="55"/>
    <s v="December"/>
    <x v="0"/>
    <x v="0"/>
    <x v="0"/>
  </r>
  <r>
    <x v="56"/>
    <s v="December"/>
    <x v="1"/>
    <x v="1"/>
    <x v="30"/>
  </r>
  <r>
    <x v="57"/>
    <s v="December"/>
    <x v="2"/>
    <x v="12"/>
    <x v="31"/>
  </r>
  <r>
    <x v="58"/>
    <s v="December"/>
    <x v="3"/>
    <x v="13"/>
    <x v="32"/>
  </r>
  <r>
    <x v="59"/>
    <s v="December"/>
    <x v="4"/>
    <x v="4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9E175-FF3E-4BD3-9ACA-17E6D8A645D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D1:E16" firstHeaderRow="1" firstDataRow="1" firstDataCol="1"/>
  <pivotFields count="7"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>
      <items count="6">
        <item x="3"/>
        <item x="1"/>
        <item x="0"/>
        <item x="2"/>
        <item x="4"/>
        <item t="default"/>
      </items>
    </pivotField>
    <pivotField axis="axisRow" showAll="0">
      <items count="15">
        <item x="6"/>
        <item x="2"/>
        <item x="4"/>
        <item x="11"/>
        <item x="8"/>
        <item x="1"/>
        <item x="0"/>
        <item x="3"/>
        <item x="7"/>
        <item x="9"/>
        <item x="12"/>
        <item x="10"/>
        <item x="5"/>
        <item x="13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Actual amount" fld="4" baseField="0" baseItem="0"/>
  </dataFields>
  <chartFormats count="2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CD807-055F-4DEF-83E5-18A1EFD8ED9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1:B14" firstHeaderRow="1" firstDataRow="1" firstDataCol="1"/>
  <pivotFields count="7">
    <pivotField axis="axisRow"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6"/>
    <field x="5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ctual amount" fld="4" baseField="0" baseItem="0"/>
  </dataFields>
  <chartFormats count="39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2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2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2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2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2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2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2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22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2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3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3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3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3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3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3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3" format="34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3" format="35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3" format="36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23" format="37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23" format="38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F82BD-9445-435E-9361-EF339CE453E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J1:K35" firstHeaderRow="1" firstDataRow="1" firstDataCol="1"/>
  <pivotFields count="7"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dataField="1" showAll="0"/>
    <pivotField showAll="0"/>
    <pivotField axis="axisRow" showAll="0">
      <items count="34">
        <item x="10"/>
        <item x="22"/>
        <item x="7"/>
        <item x="26"/>
        <item x="17"/>
        <item x="13"/>
        <item x="3"/>
        <item x="8"/>
        <item x="14"/>
        <item x="4"/>
        <item x="20"/>
        <item x="2"/>
        <item x="16"/>
        <item x="12"/>
        <item x="24"/>
        <item x="6"/>
        <item x="19"/>
        <item x="28"/>
        <item x="31"/>
        <item x="9"/>
        <item x="32"/>
        <item x="21"/>
        <item x="1"/>
        <item x="25"/>
        <item x="11"/>
        <item x="29"/>
        <item x="23"/>
        <item x="15"/>
        <item x="27"/>
        <item x="5"/>
        <item x="18"/>
        <item x="30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Category" fld="2" subtotal="count" baseField="0" baseItem="0"/>
  </dataFields>
  <chartFormats count="5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16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16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16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16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6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6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5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5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0" format="5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0" format="5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0" format="5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0" format="5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0" format="6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0" format="6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0" format="6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20" format="6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20" format="64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20" format="65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20" format="66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0" format="67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20" format="68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20" format="69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20" format="70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20" format="7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20" format="72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20" format="73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20" format="74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20" format="75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20" format="76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20" format="77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EAA9A-935B-4C3D-BF5B-2C7980F720A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1:H16" firstHeaderRow="1" firstDataRow="1" firstDataCol="1"/>
  <pivotFields count="7">
    <pivotField dataField="1"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axis="axisRow" showAll="0">
      <items count="15">
        <item x="6"/>
        <item x="2"/>
        <item x="4"/>
        <item x="11"/>
        <item x="8"/>
        <item x="1"/>
        <item x="0"/>
        <item x="3"/>
        <item x="7"/>
        <item x="9"/>
        <item x="12"/>
        <item x="10"/>
        <item x="5"/>
        <item x="13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Date" fld="0" subtotal="count" baseField="0" baseItem="0"/>
  </dataFields>
  <chartFormats count="30">
    <chartFormat chart="5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5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2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6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6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6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6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6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2" format="6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2" format="6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2" format="7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2" format="7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2" format="7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2" format="7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2" format="74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2" format="75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7BA7-117D-4E30-8C2F-FBC4F6A1CE08}">
  <dimension ref="A1:K35"/>
  <sheetViews>
    <sheetView topLeftCell="B37" workbookViewId="0">
      <selection activeCell="E21" sqref="E21"/>
    </sheetView>
  </sheetViews>
  <sheetFormatPr defaultRowHeight="13.8" x14ac:dyDescent="0.25"/>
  <cols>
    <col min="1" max="1" width="12.3984375" customWidth="1"/>
    <col min="2" max="2" width="19.09765625" customWidth="1"/>
    <col min="4" max="4" width="14.69921875" customWidth="1"/>
    <col min="5" max="5" width="19.09765625" customWidth="1"/>
    <col min="8" max="8" width="14.69921875" customWidth="1"/>
    <col min="9" max="9" width="11.8984375" customWidth="1"/>
    <col min="10" max="10" width="19.09765625" customWidth="1"/>
    <col min="11" max="12" width="15.5" customWidth="1"/>
  </cols>
  <sheetData>
    <row r="1" spans="1:11" x14ac:dyDescent="0.25">
      <c r="A1" s="12" t="s">
        <v>0</v>
      </c>
      <c r="B1" t="s">
        <v>1</v>
      </c>
      <c r="D1" s="12" t="s">
        <v>0</v>
      </c>
      <c r="E1" t="s">
        <v>1</v>
      </c>
      <c r="G1" s="12" t="s">
        <v>0</v>
      </c>
      <c r="H1" t="s">
        <v>2</v>
      </c>
      <c r="J1" s="12" t="s">
        <v>0</v>
      </c>
      <c r="K1" t="s">
        <v>3</v>
      </c>
    </row>
    <row r="2" spans="1:11" x14ac:dyDescent="0.25">
      <c r="A2" s="13" t="s">
        <v>4</v>
      </c>
      <c r="B2">
        <v>23900</v>
      </c>
      <c r="D2" s="13" t="s">
        <v>5</v>
      </c>
      <c r="E2">
        <v>7900</v>
      </c>
      <c r="G2" s="13" t="s">
        <v>5</v>
      </c>
      <c r="H2">
        <v>3</v>
      </c>
      <c r="J2" s="13">
        <v>1500</v>
      </c>
      <c r="K2">
        <v>1</v>
      </c>
    </row>
    <row r="3" spans="1:11" x14ac:dyDescent="0.25">
      <c r="A3" s="13" t="s">
        <v>6</v>
      </c>
      <c r="B3">
        <v>24600</v>
      </c>
      <c r="D3" s="13" t="s">
        <v>7</v>
      </c>
      <c r="E3">
        <v>6000</v>
      </c>
      <c r="G3" s="13" t="s">
        <v>7</v>
      </c>
      <c r="H3">
        <v>2</v>
      </c>
      <c r="J3" s="13">
        <v>1800</v>
      </c>
      <c r="K3">
        <v>1</v>
      </c>
    </row>
    <row r="4" spans="1:11" x14ac:dyDescent="0.25">
      <c r="A4" s="13" t="s">
        <v>8</v>
      </c>
      <c r="B4">
        <v>22300</v>
      </c>
      <c r="D4" s="13" t="s">
        <v>9</v>
      </c>
      <c r="E4">
        <v>28400</v>
      </c>
      <c r="G4" s="13" t="s">
        <v>9</v>
      </c>
      <c r="H4">
        <v>11</v>
      </c>
      <c r="J4" s="13">
        <v>1900</v>
      </c>
      <c r="K4">
        <v>1</v>
      </c>
    </row>
    <row r="5" spans="1:11" x14ac:dyDescent="0.25">
      <c r="A5" s="13" t="s">
        <v>10</v>
      </c>
      <c r="B5">
        <v>24200</v>
      </c>
      <c r="D5" s="13" t="s">
        <v>11</v>
      </c>
      <c r="E5">
        <v>3500</v>
      </c>
      <c r="G5" s="13" t="s">
        <v>11</v>
      </c>
      <c r="H5">
        <v>1</v>
      </c>
      <c r="J5" s="13">
        <v>2000</v>
      </c>
      <c r="K5">
        <v>1</v>
      </c>
    </row>
    <row r="6" spans="1:11" x14ac:dyDescent="0.25">
      <c r="A6" s="13" t="s">
        <v>12</v>
      </c>
      <c r="B6">
        <v>24400</v>
      </c>
      <c r="D6" s="13" t="s">
        <v>13</v>
      </c>
      <c r="E6">
        <v>18500</v>
      </c>
      <c r="G6" s="13" t="s">
        <v>13</v>
      </c>
      <c r="H6">
        <v>6</v>
      </c>
      <c r="J6" s="13">
        <v>2100</v>
      </c>
      <c r="K6">
        <v>2</v>
      </c>
    </row>
    <row r="7" spans="1:11" x14ac:dyDescent="0.25">
      <c r="A7" s="13" t="s">
        <v>14</v>
      </c>
      <c r="B7">
        <v>26000</v>
      </c>
      <c r="D7" s="13" t="s">
        <v>15</v>
      </c>
      <c r="E7">
        <v>55800</v>
      </c>
      <c r="G7" s="13" t="s">
        <v>15</v>
      </c>
      <c r="H7">
        <v>12</v>
      </c>
      <c r="J7" s="13">
        <v>2200</v>
      </c>
      <c r="K7">
        <v>2</v>
      </c>
    </row>
    <row r="8" spans="1:11" x14ac:dyDescent="0.25">
      <c r="A8" s="13" t="s">
        <v>16</v>
      </c>
      <c r="B8">
        <v>22900</v>
      </c>
      <c r="D8" s="13" t="s">
        <v>17</v>
      </c>
      <c r="E8">
        <v>144000</v>
      </c>
      <c r="G8" s="13" t="s">
        <v>17</v>
      </c>
      <c r="H8">
        <v>12</v>
      </c>
      <c r="J8" s="13">
        <v>2300</v>
      </c>
      <c r="K8">
        <v>2</v>
      </c>
    </row>
    <row r="9" spans="1:11" x14ac:dyDescent="0.25">
      <c r="A9" s="13" t="s">
        <v>18</v>
      </c>
      <c r="B9">
        <v>24500</v>
      </c>
      <c r="D9" s="13" t="s">
        <v>19</v>
      </c>
      <c r="E9">
        <v>10300</v>
      </c>
      <c r="G9" s="13" t="s">
        <v>19</v>
      </c>
      <c r="H9">
        <v>5</v>
      </c>
      <c r="J9" s="13">
        <v>2400</v>
      </c>
      <c r="K9">
        <v>3</v>
      </c>
    </row>
    <row r="10" spans="1:11" x14ac:dyDescent="0.25">
      <c r="A10" s="13" t="s">
        <v>20</v>
      </c>
      <c r="B10">
        <v>23400</v>
      </c>
      <c r="D10" s="13" t="s">
        <v>21</v>
      </c>
      <c r="E10">
        <v>3500</v>
      </c>
      <c r="G10" s="13" t="s">
        <v>21</v>
      </c>
      <c r="H10">
        <v>2</v>
      </c>
      <c r="J10" s="13">
        <v>2500</v>
      </c>
      <c r="K10">
        <v>2</v>
      </c>
    </row>
    <row r="11" spans="1:11" x14ac:dyDescent="0.25">
      <c r="A11" s="13" t="s">
        <v>22</v>
      </c>
      <c r="B11">
        <v>26500</v>
      </c>
      <c r="D11" s="13" t="s">
        <v>23</v>
      </c>
      <c r="E11">
        <v>4300</v>
      </c>
      <c r="G11" s="13" t="s">
        <v>23</v>
      </c>
      <c r="H11">
        <v>2</v>
      </c>
      <c r="J11" s="13">
        <v>2600</v>
      </c>
      <c r="K11">
        <v>5</v>
      </c>
    </row>
    <row r="12" spans="1:11" x14ac:dyDescent="0.25">
      <c r="A12" s="13" t="s">
        <v>24</v>
      </c>
      <c r="B12">
        <v>24300</v>
      </c>
      <c r="D12" s="13" t="s">
        <v>25</v>
      </c>
      <c r="E12">
        <v>3600</v>
      </c>
      <c r="G12" s="13" t="s">
        <v>25</v>
      </c>
      <c r="H12">
        <v>1</v>
      </c>
      <c r="J12" s="13">
        <v>2700</v>
      </c>
      <c r="K12">
        <v>2</v>
      </c>
    </row>
    <row r="13" spans="1:11" x14ac:dyDescent="0.25">
      <c r="A13" s="13" t="s">
        <v>26</v>
      </c>
      <c r="B13">
        <v>28000</v>
      </c>
      <c r="D13" s="13" t="s">
        <v>27</v>
      </c>
      <c r="E13">
        <v>2800</v>
      </c>
      <c r="G13" s="13" t="s">
        <v>27</v>
      </c>
      <c r="H13">
        <v>1</v>
      </c>
      <c r="J13" s="13">
        <v>2800</v>
      </c>
      <c r="K13">
        <v>3</v>
      </c>
    </row>
    <row r="14" spans="1:11" x14ac:dyDescent="0.25">
      <c r="A14" s="13" t="s">
        <v>28</v>
      </c>
      <c r="B14">
        <v>295000</v>
      </c>
      <c r="D14" s="13" t="s">
        <v>29</v>
      </c>
      <c r="E14">
        <v>2400</v>
      </c>
      <c r="G14" s="13" t="s">
        <v>29</v>
      </c>
      <c r="H14">
        <v>1</v>
      </c>
      <c r="J14" s="13">
        <v>2900</v>
      </c>
      <c r="K14">
        <v>1</v>
      </c>
    </row>
    <row r="15" spans="1:11" x14ac:dyDescent="0.25">
      <c r="D15" s="13" t="s">
        <v>30</v>
      </c>
      <c r="E15">
        <v>4000</v>
      </c>
      <c r="G15" s="13" t="s">
        <v>30</v>
      </c>
      <c r="H15">
        <v>1</v>
      </c>
      <c r="J15" s="13">
        <v>3000</v>
      </c>
      <c r="K15">
        <v>3</v>
      </c>
    </row>
    <row r="16" spans="1:11" x14ac:dyDescent="0.25">
      <c r="D16" s="13" t="s">
        <v>28</v>
      </c>
      <c r="E16">
        <v>295000</v>
      </c>
      <c r="G16" s="13" t="s">
        <v>28</v>
      </c>
      <c r="H16">
        <v>60</v>
      </c>
      <c r="J16" s="13">
        <v>3100</v>
      </c>
      <c r="K16">
        <v>1</v>
      </c>
    </row>
    <row r="17" spans="10:11" x14ac:dyDescent="0.25">
      <c r="J17" s="13">
        <v>3200</v>
      </c>
      <c r="K17">
        <v>2</v>
      </c>
    </row>
    <row r="18" spans="10:11" x14ac:dyDescent="0.25">
      <c r="J18" s="13">
        <v>3300</v>
      </c>
      <c r="K18">
        <v>1</v>
      </c>
    </row>
    <row r="19" spans="10:11" x14ac:dyDescent="0.25">
      <c r="J19" s="13">
        <v>3500</v>
      </c>
      <c r="K19">
        <v>1</v>
      </c>
    </row>
    <row r="20" spans="10:11" x14ac:dyDescent="0.25">
      <c r="J20" s="13">
        <v>3600</v>
      </c>
      <c r="K20">
        <v>1</v>
      </c>
    </row>
    <row r="21" spans="10:11" x14ac:dyDescent="0.25">
      <c r="J21" s="13">
        <v>3900</v>
      </c>
      <c r="K21">
        <v>1</v>
      </c>
    </row>
    <row r="22" spans="10:11" x14ac:dyDescent="0.25">
      <c r="J22" s="13">
        <v>4000</v>
      </c>
      <c r="K22">
        <v>1</v>
      </c>
    </row>
    <row r="23" spans="10:11" x14ac:dyDescent="0.25">
      <c r="J23" s="13">
        <v>4100</v>
      </c>
      <c r="K23">
        <v>1</v>
      </c>
    </row>
    <row r="24" spans="10:11" x14ac:dyDescent="0.25">
      <c r="J24" s="13">
        <v>4200</v>
      </c>
      <c r="K24">
        <v>1</v>
      </c>
    </row>
    <row r="25" spans="10:11" x14ac:dyDescent="0.25">
      <c r="J25" s="13">
        <v>4300</v>
      </c>
      <c r="K25">
        <v>1</v>
      </c>
    </row>
    <row r="26" spans="10:11" x14ac:dyDescent="0.25">
      <c r="J26" s="13">
        <v>4500</v>
      </c>
      <c r="K26">
        <v>1</v>
      </c>
    </row>
    <row r="27" spans="10:11" x14ac:dyDescent="0.25">
      <c r="J27" s="13">
        <v>4600</v>
      </c>
      <c r="K27">
        <v>1</v>
      </c>
    </row>
    <row r="28" spans="10:11" x14ac:dyDescent="0.25">
      <c r="J28" s="13">
        <v>4700</v>
      </c>
      <c r="K28">
        <v>1</v>
      </c>
    </row>
    <row r="29" spans="10:11" x14ac:dyDescent="0.25">
      <c r="J29" s="13">
        <v>4800</v>
      </c>
      <c r="K29">
        <v>1</v>
      </c>
    </row>
    <row r="30" spans="10:11" x14ac:dyDescent="0.25">
      <c r="J30" s="13">
        <v>5000</v>
      </c>
      <c r="K30">
        <v>1</v>
      </c>
    </row>
    <row r="31" spans="10:11" x14ac:dyDescent="0.25">
      <c r="J31" s="13">
        <v>5100</v>
      </c>
      <c r="K31">
        <v>1</v>
      </c>
    </row>
    <row r="32" spans="10:11" x14ac:dyDescent="0.25">
      <c r="J32" s="13">
        <v>5200</v>
      </c>
      <c r="K32">
        <v>1</v>
      </c>
    </row>
    <row r="33" spans="10:11" x14ac:dyDescent="0.25">
      <c r="J33" s="13">
        <v>5400</v>
      </c>
      <c r="K33">
        <v>1</v>
      </c>
    </row>
    <row r="34" spans="10:11" x14ac:dyDescent="0.25">
      <c r="J34" s="13">
        <v>12000</v>
      </c>
      <c r="K34">
        <v>12</v>
      </c>
    </row>
    <row r="35" spans="10:11" x14ac:dyDescent="0.25">
      <c r="J35" s="13" t="s">
        <v>28</v>
      </c>
      <c r="K35">
        <v>60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49D4-1F70-4AC5-8684-9444663979DC}">
  <dimension ref="A1:H61"/>
  <sheetViews>
    <sheetView workbookViewId="0">
      <selection activeCell="H19" sqref="H19"/>
    </sheetView>
  </sheetViews>
  <sheetFormatPr defaultRowHeight="13.8" x14ac:dyDescent="0.25"/>
  <cols>
    <col min="1" max="1" width="12.3984375" customWidth="1"/>
    <col min="3" max="3" width="12.19921875" customWidth="1"/>
    <col min="4" max="4" width="14.69921875" customWidth="1"/>
    <col min="5" max="5" width="13.8984375" customWidth="1"/>
    <col min="8" max="8" width="31.09765625" customWidth="1"/>
  </cols>
  <sheetData>
    <row r="1" spans="1:8" ht="15.6" x14ac:dyDescent="0.3">
      <c r="A1" s="1" t="s">
        <v>31</v>
      </c>
      <c r="B1" s="2" t="s">
        <v>32</v>
      </c>
      <c r="C1" s="2" t="s">
        <v>33</v>
      </c>
      <c r="D1" s="2" t="s">
        <v>34</v>
      </c>
      <c r="E1" s="2" t="s">
        <v>35</v>
      </c>
    </row>
    <row r="2" spans="1:8" x14ac:dyDescent="0.25">
      <c r="A2" s="9">
        <v>45662</v>
      </c>
      <c r="B2" s="6" t="s">
        <v>36</v>
      </c>
      <c r="C2" s="6" t="s">
        <v>37</v>
      </c>
      <c r="D2" s="6" t="s">
        <v>17</v>
      </c>
      <c r="E2" s="6">
        <v>12000</v>
      </c>
    </row>
    <row r="3" spans="1:8" x14ac:dyDescent="0.25">
      <c r="A3" s="10">
        <v>45665</v>
      </c>
      <c r="B3" s="7" t="s">
        <v>36</v>
      </c>
      <c r="C3" s="7" t="s">
        <v>38</v>
      </c>
      <c r="D3" s="7" t="s">
        <v>15</v>
      </c>
      <c r="E3" s="7">
        <v>4200</v>
      </c>
    </row>
    <row r="4" spans="1:8" x14ac:dyDescent="0.25">
      <c r="A4" s="9">
        <v>45669</v>
      </c>
      <c r="B4" s="6" t="s">
        <v>36</v>
      </c>
      <c r="C4" s="6" t="s">
        <v>39</v>
      </c>
      <c r="D4" s="6" t="s">
        <v>7</v>
      </c>
      <c r="E4" s="6">
        <v>2800</v>
      </c>
    </row>
    <row r="5" spans="1:8" x14ac:dyDescent="0.25">
      <c r="A5" s="10">
        <v>45675</v>
      </c>
      <c r="B5" s="7" t="s">
        <v>36</v>
      </c>
      <c r="C5" s="7" t="s">
        <v>40</v>
      </c>
      <c r="D5" s="7" t="s">
        <v>19</v>
      </c>
      <c r="E5" s="7">
        <v>2300</v>
      </c>
      <c r="H5" s="3" t="s">
        <v>41</v>
      </c>
    </row>
    <row r="6" spans="1:8" x14ac:dyDescent="0.25">
      <c r="A6" s="9">
        <v>45682</v>
      </c>
      <c r="B6" s="6" t="s">
        <v>36</v>
      </c>
      <c r="C6" s="6" t="s">
        <v>42</v>
      </c>
      <c r="D6" s="6" t="s">
        <v>9</v>
      </c>
      <c r="E6" s="6">
        <v>2600</v>
      </c>
      <c r="H6" s="4">
        <f>SUM(E3:E62)</f>
        <v>283000</v>
      </c>
    </row>
    <row r="7" spans="1:8" x14ac:dyDescent="0.25">
      <c r="A7" s="10">
        <v>45693</v>
      </c>
      <c r="B7" s="7" t="s">
        <v>43</v>
      </c>
      <c r="C7" s="7" t="s">
        <v>37</v>
      </c>
      <c r="D7" s="7" t="s">
        <v>17</v>
      </c>
      <c r="E7" s="7">
        <v>12000</v>
      </c>
    </row>
    <row r="8" spans="1:8" x14ac:dyDescent="0.25">
      <c r="A8" s="9">
        <v>45697</v>
      </c>
      <c r="B8" s="6" t="s">
        <v>43</v>
      </c>
      <c r="C8" s="6" t="s">
        <v>38</v>
      </c>
      <c r="D8" s="6" t="s">
        <v>15</v>
      </c>
      <c r="E8" s="6">
        <v>5100</v>
      </c>
    </row>
    <row r="9" spans="1:8" x14ac:dyDescent="0.25">
      <c r="A9" s="10">
        <v>45700</v>
      </c>
      <c r="B9" s="7" t="s">
        <v>43</v>
      </c>
      <c r="C9" s="7" t="s">
        <v>39</v>
      </c>
      <c r="D9" s="7" t="s">
        <v>7</v>
      </c>
      <c r="E9" s="7">
        <v>3200</v>
      </c>
    </row>
    <row r="10" spans="1:8" x14ac:dyDescent="0.25">
      <c r="A10" s="9">
        <v>45706</v>
      </c>
      <c r="B10" s="6" t="s">
        <v>43</v>
      </c>
      <c r="C10" s="6" t="s">
        <v>40</v>
      </c>
      <c r="D10" s="6" t="s">
        <v>19</v>
      </c>
      <c r="E10" s="6">
        <v>1900</v>
      </c>
      <c r="H10" s="2" t="s">
        <v>44</v>
      </c>
    </row>
    <row r="11" spans="1:8" x14ac:dyDescent="0.25">
      <c r="A11" s="10">
        <v>45712</v>
      </c>
      <c r="B11" s="7" t="s">
        <v>43</v>
      </c>
      <c r="C11" s="7" t="s">
        <v>42</v>
      </c>
      <c r="D11" s="7" t="s">
        <v>29</v>
      </c>
      <c r="E11" s="7">
        <v>2400</v>
      </c>
      <c r="H11" s="4">
        <f>SUMIF(C:C,"food",E:E)</f>
        <v>55800</v>
      </c>
    </row>
    <row r="12" spans="1:8" x14ac:dyDescent="0.25">
      <c r="A12" s="9">
        <v>45721</v>
      </c>
      <c r="B12" s="6" t="s">
        <v>45</v>
      </c>
      <c r="C12" s="6" t="s">
        <v>37</v>
      </c>
      <c r="D12" s="6" t="s">
        <v>17</v>
      </c>
      <c r="E12" s="6">
        <v>12000</v>
      </c>
    </row>
    <row r="13" spans="1:8" x14ac:dyDescent="0.25">
      <c r="A13" s="10">
        <v>45724</v>
      </c>
      <c r="B13" s="7" t="s">
        <v>45</v>
      </c>
      <c r="C13" s="7" t="s">
        <v>38</v>
      </c>
      <c r="D13" s="7" t="s">
        <v>15</v>
      </c>
      <c r="E13" s="7">
        <v>3900</v>
      </c>
    </row>
    <row r="14" spans="1:8" x14ac:dyDescent="0.25">
      <c r="A14" s="9">
        <v>45730</v>
      </c>
      <c r="B14" s="6" t="s">
        <v>45</v>
      </c>
      <c r="C14" s="6" t="s">
        <v>39</v>
      </c>
      <c r="D14" s="6" t="s">
        <v>5</v>
      </c>
      <c r="E14" s="6">
        <v>2600</v>
      </c>
      <c r="H14" s="2" t="s">
        <v>46</v>
      </c>
    </row>
    <row r="15" spans="1:8" x14ac:dyDescent="0.25">
      <c r="A15" s="10">
        <v>45736</v>
      </c>
      <c r="B15" s="7" t="s">
        <v>45</v>
      </c>
      <c r="C15" s="7" t="s">
        <v>40</v>
      </c>
      <c r="D15" s="7" t="s">
        <v>21</v>
      </c>
      <c r="E15" s="7">
        <v>1500</v>
      </c>
      <c r="H15" s="4">
        <f>AVERAGE(E3:E62)</f>
        <v>4796.6101694915251</v>
      </c>
    </row>
    <row r="16" spans="1:8" x14ac:dyDescent="0.25">
      <c r="A16" s="9">
        <v>45742</v>
      </c>
      <c r="B16" s="6" t="s">
        <v>45</v>
      </c>
      <c r="C16" s="6" t="s">
        <v>42</v>
      </c>
      <c r="D16" s="6" t="s">
        <v>9</v>
      </c>
      <c r="E16" s="6">
        <v>2300</v>
      </c>
    </row>
    <row r="17" spans="1:8" x14ac:dyDescent="0.25">
      <c r="A17" s="10">
        <v>45752</v>
      </c>
      <c r="B17" s="7" t="s">
        <v>47</v>
      </c>
      <c r="C17" s="7" t="s">
        <v>37</v>
      </c>
      <c r="D17" s="7" t="s">
        <v>17</v>
      </c>
      <c r="E17" s="7">
        <v>12000</v>
      </c>
    </row>
    <row r="18" spans="1:8" x14ac:dyDescent="0.25">
      <c r="A18" s="9">
        <v>45756</v>
      </c>
      <c r="B18" s="6" t="s">
        <v>47</v>
      </c>
      <c r="C18" s="6" t="s">
        <v>38</v>
      </c>
      <c r="D18" s="6" t="s">
        <v>15</v>
      </c>
      <c r="E18" s="6">
        <v>4500</v>
      </c>
      <c r="H18" s="5" t="s">
        <v>48</v>
      </c>
    </row>
    <row r="19" spans="1:8" x14ac:dyDescent="0.25">
      <c r="A19" s="10">
        <v>45760</v>
      </c>
      <c r="B19" s="7" t="s">
        <v>47</v>
      </c>
      <c r="C19" s="7" t="s">
        <v>39</v>
      </c>
      <c r="D19" s="7" t="s">
        <v>13</v>
      </c>
      <c r="E19" s="7">
        <v>3000</v>
      </c>
      <c r="H19" s="4">
        <f>SUMIF(B:B,"January",E:E)</f>
        <v>23900</v>
      </c>
    </row>
    <row r="20" spans="1:8" x14ac:dyDescent="0.25">
      <c r="A20" s="9">
        <v>45766</v>
      </c>
      <c r="B20" s="6" t="s">
        <v>47</v>
      </c>
      <c r="C20" s="6" t="s">
        <v>40</v>
      </c>
      <c r="D20" s="6" t="s">
        <v>19</v>
      </c>
      <c r="E20" s="6">
        <v>2200</v>
      </c>
    </row>
    <row r="21" spans="1:8" x14ac:dyDescent="0.25">
      <c r="A21" s="10">
        <v>45772</v>
      </c>
      <c r="B21" s="7" t="s">
        <v>47</v>
      </c>
      <c r="C21" s="7" t="s">
        <v>42</v>
      </c>
      <c r="D21" s="7" t="s">
        <v>9</v>
      </c>
      <c r="E21" s="7">
        <v>2500</v>
      </c>
    </row>
    <row r="22" spans="1:8" x14ac:dyDescent="0.25">
      <c r="A22" s="9">
        <v>45782</v>
      </c>
      <c r="B22" s="6" t="s">
        <v>12</v>
      </c>
      <c r="C22" s="6" t="s">
        <v>37</v>
      </c>
      <c r="D22" s="6" t="s">
        <v>17</v>
      </c>
      <c r="E22" s="6">
        <v>12000</v>
      </c>
      <c r="H22" s="5" t="s">
        <v>49</v>
      </c>
    </row>
    <row r="23" spans="1:8" x14ac:dyDescent="0.25">
      <c r="A23" s="10">
        <v>45785</v>
      </c>
      <c r="B23" s="7" t="s">
        <v>12</v>
      </c>
      <c r="C23" s="7" t="s">
        <v>38</v>
      </c>
      <c r="D23" s="7" t="s">
        <v>15</v>
      </c>
      <c r="E23" s="7">
        <v>4800</v>
      </c>
      <c r="H23" s="4">
        <f>SUMIFS(E:E,B:B,"January",C:C,"Food")</f>
        <v>4200</v>
      </c>
    </row>
    <row r="24" spans="1:8" x14ac:dyDescent="0.25">
      <c r="A24" s="9">
        <v>45791</v>
      </c>
      <c r="B24" s="6" t="s">
        <v>12</v>
      </c>
      <c r="C24" s="6" t="s">
        <v>39</v>
      </c>
      <c r="D24" s="6" t="s">
        <v>13</v>
      </c>
      <c r="E24" s="6">
        <v>2900</v>
      </c>
    </row>
    <row r="25" spans="1:8" x14ac:dyDescent="0.25">
      <c r="A25" s="10">
        <v>45797</v>
      </c>
      <c r="B25" s="7" t="s">
        <v>12</v>
      </c>
      <c r="C25" s="7" t="s">
        <v>40</v>
      </c>
      <c r="D25" s="7" t="s">
        <v>23</v>
      </c>
      <c r="E25" s="7">
        <v>2100</v>
      </c>
    </row>
    <row r="26" spans="1:8" x14ac:dyDescent="0.25">
      <c r="A26" s="9">
        <v>45803</v>
      </c>
      <c r="B26" s="6" t="s">
        <v>12</v>
      </c>
      <c r="C26" s="6" t="s">
        <v>42</v>
      </c>
      <c r="D26" s="6" t="s">
        <v>9</v>
      </c>
      <c r="E26" s="6">
        <v>2600</v>
      </c>
    </row>
    <row r="27" spans="1:8" x14ac:dyDescent="0.25">
      <c r="A27" s="10">
        <v>45813</v>
      </c>
      <c r="B27" s="7" t="s">
        <v>50</v>
      </c>
      <c r="C27" s="7" t="s">
        <v>37</v>
      </c>
      <c r="D27" s="7" t="s">
        <v>17</v>
      </c>
      <c r="E27" s="7">
        <v>12000</v>
      </c>
    </row>
    <row r="28" spans="1:8" x14ac:dyDescent="0.25">
      <c r="A28" s="9">
        <v>45817</v>
      </c>
      <c r="B28" s="6" t="s">
        <v>50</v>
      </c>
      <c r="C28" s="6" t="s">
        <v>38</v>
      </c>
      <c r="D28" s="6" t="s">
        <v>15</v>
      </c>
      <c r="E28" s="6">
        <v>5200</v>
      </c>
      <c r="H28" s="5" t="s">
        <v>51</v>
      </c>
    </row>
    <row r="29" spans="1:8" x14ac:dyDescent="0.25">
      <c r="A29" s="10">
        <v>45821</v>
      </c>
      <c r="B29" s="7" t="s">
        <v>50</v>
      </c>
      <c r="C29" s="7" t="s">
        <v>39</v>
      </c>
      <c r="D29" s="7" t="s">
        <v>13</v>
      </c>
      <c r="E29" s="7">
        <v>3300</v>
      </c>
      <c r="H29" s="4">
        <f>AVERAGEIF(B:B,"January",E:E)</f>
        <v>4780</v>
      </c>
    </row>
    <row r="30" spans="1:8" x14ac:dyDescent="0.25">
      <c r="A30" s="9">
        <v>45826</v>
      </c>
      <c r="B30" s="6" t="s">
        <v>50</v>
      </c>
      <c r="C30" s="6" t="s">
        <v>40</v>
      </c>
      <c r="D30" s="6" t="s">
        <v>27</v>
      </c>
      <c r="E30" s="6">
        <v>2800</v>
      </c>
    </row>
    <row r="31" spans="1:8" x14ac:dyDescent="0.25">
      <c r="A31" s="10">
        <v>45833</v>
      </c>
      <c r="B31" s="7" t="s">
        <v>50</v>
      </c>
      <c r="C31" s="7" t="s">
        <v>42</v>
      </c>
      <c r="D31" s="7" t="s">
        <v>9</v>
      </c>
      <c r="E31" s="7">
        <v>2700</v>
      </c>
    </row>
    <row r="32" spans="1:8" x14ac:dyDescent="0.25">
      <c r="A32" s="9">
        <v>45843</v>
      </c>
      <c r="B32" s="6" t="s">
        <v>52</v>
      </c>
      <c r="C32" s="6" t="s">
        <v>37</v>
      </c>
      <c r="D32" s="6" t="s">
        <v>17</v>
      </c>
      <c r="E32" s="6">
        <v>12000</v>
      </c>
    </row>
    <row r="33" spans="1:5" x14ac:dyDescent="0.25">
      <c r="A33" s="10">
        <v>45846</v>
      </c>
      <c r="B33" s="7" t="s">
        <v>52</v>
      </c>
      <c r="C33" s="7" t="s">
        <v>38</v>
      </c>
      <c r="D33" s="7" t="s">
        <v>15</v>
      </c>
      <c r="E33" s="7">
        <v>4100</v>
      </c>
    </row>
    <row r="34" spans="1:5" x14ac:dyDescent="0.25">
      <c r="A34" s="9">
        <v>45850</v>
      </c>
      <c r="B34" s="6" t="s">
        <v>52</v>
      </c>
      <c r="C34" s="6" t="s">
        <v>39</v>
      </c>
      <c r="D34" s="6" t="s">
        <v>5</v>
      </c>
      <c r="E34" s="6">
        <v>2600</v>
      </c>
    </row>
    <row r="35" spans="1:5" x14ac:dyDescent="0.25">
      <c r="A35" s="10">
        <v>45857</v>
      </c>
      <c r="B35" s="7" t="s">
        <v>52</v>
      </c>
      <c r="C35" s="7" t="s">
        <v>40</v>
      </c>
      <c r="D35" s="7" t="s">
        <v>19</v>
      </c>
      <c r="E35" s="7">
        <v>1800</v>
      </c>
    </row>
    <row r="36" spans="1:5" x14ac:dyDescent="0.25">
      <c r="A36" s="9">
        <v>45864</v>
      </c>
      <c r="B36" s="6" t="s">
        <v>52</v>
      </c>
      <c r="C36" s="6" t="s">
        <v>42</v>
      </c>
      <c r="D36" s="6" t="s">
        <v>9</v>
      </c>
      <c r="E36" s="6">
        <v>2400</v>
      </c>
    </row>
    <row r="37" spans="1:5" x14ac:dyDescent="0.25">
      <c r="A37" s="10">
        <v>45874</v>
      </c>
      <c r="B37" s="7" t="s">
        <v>53</v>
      </c>
      <c r="C37" s="7" t="s">
        <v>37</v>
      </c>
      <c r="D37" s="7" t="s">
        <v>17</v>
      </c>
      <c r="E37" s="7">
        <v>12000</v>
      </c>
    </row>
    <row r="38" spans="1:5" x14ac:dyDescent="0.25">
      <c r="A38" s="9">
        <v>45878</v>
      </c>
      <c r="B38" s="6" t="s">
        <v>53</v>
      </c>
      <c r="C38" s="6" t="s">
        <v>38</v>
      </c>
      <c r="D38" s="6" t="s">
        <v>15</v>
      </c>
      <c r="E38" s="6">
        <v>4700</v>
      </c>
    </row>
    <row r="39" spans="1:5" x14ac:dyDescent="0.25">
      <c r="A39" s="10">
        <v>45883</v>
      </c>
      <c r="B39" s="7" t="s">
        <v>53</v>
      </c>
      <c r="C39" s="7" t="s">
        <v>39</v>
      </c>
      <c r="D39" s="7" t="s">
        <v>13</v>
      </c>
      <c r="E39" s="7">
        <v>3100</v>
      </c>
    </row>
    <row r="40" spans="1:5" x14ac:dyDescent="0.25">
      <c r="A40" s="9">
        <v>45889</v>
      </c>
      <c r="B40" s="6" t="s">
        <v>53</v>
      </c>
      <c r="C40" s="6" t="s">
        <v>40</v>
      </c>
      <c r="D40" s="6" t="s">
        <v>23</v>
      </c>
      <c r="E40" s="6">
        <v>2200</v>
      </c>
    </row>
    <row r="41" spans="1:5" x14ac:dyDescent="0.25">
      <c r="A41" s="10">
        <v>45895</v>
      </c>
      <c r="B41" s="7" t="s">
        <v>53</v>
      </c>
      <c r="C41" s="7" t="s">
        <v>42</v>
      </c>
      <c r="D41" s="7" t="s">
        <v>9</v>
      </c>
      <c r="E41" s="7">
        <v>2500</v>
      </c>
    </row>
    <row r="42" spans="1:5" x14ac:dyDescent="0.25">
      <c r="A42" s="9">
        <v>45905</v>
      </c>
      <c r="B42" s="6" t="s">
        <v>54</v>
      </c>
      <c r="C42" s="6" t="s">
        <v>37</v>
      </c>
      <c r="D42" s="6" t="s">
        <v>17</v>
      </c>
      <c r="E42" s="6">
        <v>12000</v>
      </c>
    </row>
    <row r="43" spans="1:5" x14ac:dyDescent="0.25">
      <c r="A43" s="10">
        <v>45908</v>
      </c>
      <c r="B43" s="7" t="s">
        <v>54</v>
      </c>
      <c r="C43" s="7" t="s">
        <v>38</v>
      </c>
      <c r="D43" s="7" t="s">
        <v>15</v>
      </c>
      <c r="E43" s="7">
        <v>4300</v>
      </c>
    </row>
    <row r="44" spans="1:5" x14ac:dyDescent="0.25">
      <c r="A44" s="9">
        <v>45913</v>
      </c>
      <c r="B44" s="6" t="s">
        <v>54</v>
      </c>
      <c r="C44" s="6" t="s">
        <v>39</v>
      </c>
      <c r="D44" s="6" t="s">
        <v>5</v>
      </c>
      <c r="E44" s="6">
        <v>2700</v>
      </c>
    </row>
    <row r="45" spans="1:5" x14ac:dyDescent="0.25">
      <c r="A45" s="10">
        <v>45918</v>
      </c>
      <c r="B45" s="7" t="s">
        <v>54</v>
      </c>
      <c r="C45" s="7" t="s">
        <v>40</v>
      </c>
      <c r="D45" s="7" t="s">
        <v>21</v>
      </c>
      <c r="E45" s="7">
        <v>2000</v>
      </c>
    </row>
    <row r="46" spans="1:5" x14ac:dyDescent="0.25">
      <c r="A46" s="9">
        <v>45925</v>
      </c>
      <c r="B46" s="6" t="s">
        <v>54</v>
      </c>
      <c r="C46" s="6" t="s">
        <v>42</v>
      </c>
      <c r="D46" s="6" t="s">
        <v>9</v>
      </c>
      <c r="E46" s="6">
        <v>2400</v>
      </c>
    </row>
    <row r="47" spans="1:5" x14ac:dyDescent="0.25">
      <c r="A47" s="10">
        <v>45935</v>
      </c>
      <c r="B47" s="7" t="s">
        <v>55</v>
      </c>
      <c r="C47" s="7" t="s">
        <v>37</v>
      </c>
      <c r="D47" s="7" t="s">
        <v>17</v>
      </c>
      <c r="E47" s="7">
        <v>12000</v>
      </c>
    </row>
    <row r="48" spans="1:5" x14ac:dyDescent="0.25">
      <c r="A48" s="9">
        <v>45939</v>
      </c>
      <c r="B48" s="6" t="s">
        <v>55</v>
      </c>
      <c r="C48" s="6" t="s">
        <v>38</v>
      </c>
      <c r="D48" s="6" t="s">
        <v>15</v>
      </c>
      <c r="E48" s="6">
        <v>5000</v>
      </c>
    </row>
    <row r="49" spans="1:5" x14ac:dyDescent="0.25">
      <c r="A49" s="10">
        <v>45944</v>
      </c>
      <c r="B49" s="7" t="s">
        <v>55</v>
      </c>
      <c r="C49" s="7" t="s">
        <v>39</v>
      </c>
      <c r="D49" s="7" t="s">
        <v>13</v>
      </c>
      <c r="E49" s="7">
        <v>3200</v>
      </c>
    </row>
    <row r="50" spans="1:5" x14ac:dyDescent="0.25">
      <c r="A50" s="9">
        <v>45950</v>
      </c>
      <c r="B50" s="6" t="s">
        <v>55</v>
      </c>
      <c r="C50" s="6" t="s">
        <v>40</v>
      </c>
      <c r="D50" s="6" t="s">
        <v>11</v>
      </c>
      <c r="E50" s="6">
        <v>3500</v>
      </c>
    </row>
    <row r="51" spans="1:5" x14ac:dyDescent="0.25">
      <c r="A51" s="10">
        <v>45956</v>
      </c>
      <c r="B51" s="7" t="s">
        <v>55</v>
      </c>
      <c r="C51" s="7" t="s">
        <v>42</v>
      </c>
      <c r="D51" s="7" t="s">
        <v>9</v>
      </c>
      <c r="E51" s="7">
        <v>2800</v>
      </c>
    </row>
    <row r="52" spans="1:5" x14ac:dyDescent="0.25">
      <c r="A52" s="9">
        <v>45966</v>
      </c>
      <c r="B52" s="6" t="s">
        <v>56</v>
      </c>
      <c r="C52" s="6" t="s">
        <v>37</v>
      </c>
      <c r="D52" s="6" t="s">
        <v>17</v>
      </c>
      <c r="E52" s="6">
        <v>12000</v>
      </c>
    </row>
    <row r="53" spans="1:5" x14ac:dyDescent="0.25">
      <c r="A53" s="10">
        <v>45969</v>
      </c>
      <c r="B53" s="7" t="s">
        <v>56</v>
      </c>
      <c r="C53" s="7" t="s">
        <v>38</v>
      </c>
      <c r="D53" s="7" t="s">
        <v>15</v>
      </c>
      <c r="E53" s="7">
        <v>4600</v>
      </c>
    </row>
    <row r="54" spans="1:5" x14ac:dyDescent="0.25">
      <c r="A54" s="9">
        <v>45974</v>
      </c>
      <c r="B54" s="6" t="s">
        <v>56</v>
      </c>
      <c r="C54" s="6" t="s">
        <v>39</v>
      </c>
      <c r="D54" s="6" t="s">
        <v>13</v>
      </c>
      <c r="E54" s="6">
        <v>3000</v>
      </c>
    </row>
    <row r="55" spans="1:5" x14ac:dyDescent="0.25">
      <c r="A55" s="10">
        <v>45980</v>
      </c>
      <c r="B55" s="7" t="s">
        <v>56</v>
      </c>
      <c r="C55" s="7" t="s">
        <v>40</v>
      </c>
      <c r="D55" s="7" t="s">
        <v>19</v>
      </c>
      <c r="E55" s="7">
        <v>2100</v>
      </c>
    </row>
    <row r="56" spans="1:5" x14ac:dyDescent="0.25">
      <c r="A56" s="9">
        <v>45986</v>
      </c>
      <c r="B56" s="6" t="s">
        <v>56</v>
      </c>
      <c r="C56" s="6" t="s">
        <v>42</v>
      </c>
      <c r="D56" s="6" t="s">
        <v>9</v>
      </c>
      <c r="E56" s="6">
        <v>2600</v>
      </c>
    </row>
    <row r="57" spans="1:5" x14ac:dyDescent="0.25">
      <c r="A57" s="10">
        <v>45996</v>
      </c>
      <c r="B57" s="7" t="s">
        <v>57</v>
      </c>
      <c r="C57" s="7" t="s">
        <v>37</v>
      </c>
      <c r="D57" s="7" t="s">
        <v>17</v>
      </c>
      <c r="E57" s="7">
        <v>12000</v>
      </c>
    </row>
    <row r="58" spans="1:5" x14ac:dyDescent="0.25">
      <c r="A58" s="9">
        <v>46000</v>
      </c>
      <c r="B58" s="6" t="s">
        <v>57</v>
      </c>
      <c r="C58" s="6" t="s">
        <v>38</v>
      </c>
      <c r="D58" s="6" t="s">
        <v>15</v>
      </c>
      <c r="E58" s="6">
        <v>5400</v>
      </c>
    </row>
    <row r="59" spans="1:5" x14ac:dyDescent="0.25">
      <c r="A59" s="10">
        <v>46005</v>
      </c>
      <c r="B59" s="7" t="s">
        <v>57</v>
      </c>
      <c r="C59" s="7" t="s">
        <v>39</v>
      </c>
      <c r="D59" s="7" t="s">
        <v>25</v>
      </c>
      <c r="E59" s="7">
        <v>3600</v>
      </c>
    </row>
    <row r="60" spans="1:5" x14ac:dyDescent="0.25">
      <c r="A60" s="9">
        <v>46011</v>
      </c>
      <c r="B60" s="6" t="s">
        <v>57</v>
      </c>
      <c r="C60" s="6" t="s">
        <v>40</v>
      </c>
      <c r="D60" s="6" t="s">
        <v>30</v>
      </c>
      <c r="E60" s="6">
        <v>4000</v>
      </c>
    </row>
    <row r="61" spans="1:5" x14ac:dyDescent="0.25">
      <c r="A61" s="11">
        <v>46017</v>
      </c>
      <c r="B61" s="8" t="s">
        <v>57</v>
      </c>
      <c r="C61" s="8" t="s">
        <v>42</v>
      </c>
      <c r="D61" s="8" t="s">
        <v>9</v>
      </c>
      <c r="E61" s="8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7542-BF0C-4792-AB0C-FEFA7BF8AE7F}">
  <dimension ref="A1"/>
  <sheetViews>
    <sheetView tabSelected="1" zoomScale="86" workbookViewId="0">
      <selection activeCell="K17" sqref="K17"/>
    </sheetView>
  </sheetViews>
  <sheetFormatPr defaultRowHeight="13.8" x14ac:dyDescent="0.25"/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426F-C4BA-4FF3-8B9D-76E9FFD0C956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dash board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RAGHU KOMARABATTINA</dc:creator>
  <cp:keywords/>
  <dc:description/>
  <cp:lastModifiedBy>Srinivasarao Thokala</cp:lastModifiedBy>
  <cp:revision/>
  <dcterms:created xsi:type="dcterms:W3CDTF">2026-01-20T04:18:20Z</dcterms:created>
  <dcterms:modified xsi:type="dcterms:W3CDTF">2026-01-28T04:28:39Z</dcterms:modified>
  <cp:category/>
  <cp:contentStatus/>
</cp:coreProperties>
</file>